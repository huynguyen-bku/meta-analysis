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Article\A_Newidea\Paper 2\BaiTV\"/>
    </mc:Choice>
  </mc:AlternateContent>
  <xr:revisionPtr revIDLastSave="0" documentId="8_{54DDA2E1-6E06-4921-B7AB-CD5397B5A2BB}" xr6:coauthVersionLast="41" xr6:coauthVersionMax="41" xr10:uidLastSave="{00000000-0000-0000-0000-000000000000}"/>
  <bookViews>
    <workbookView xWindow="-96" yWindow="-96" windowWidth="23232" windowHeight="12552" xr2:uid="{00000000-000D-0000-FFFF-FFFF00000000}"/>
  </bookViews>
  <sheets>
    <sheet name="Data_Extraction_communication" sheetId="1" r:id="rId1"/>
    <sheet name="Sheet3" sheetId="4" r:id="rId2"/>
    <sheet name="Sheet2" sheetId="3" r:id="rId3"/>
    <sheet name="Sheet1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" i="1" l="1"/>
  <c r="P27" i="1" l="1"/>
  <c r="P28" i="1"/>
  <c r="P29" i="1"/>
  <c r="P30" i="1"/>
  <c r="P31" i="1"/>
  <c r="P32" i="1"/>
  <c r="P33" i="1"/>
  <c r="P34" i="1"/>
  <c r="P35" i="1"/>
  <c r="P36" i="1"/>
  <c r="P38" i="1"/>
  <c r="P39" i="1"/>
  <c r="P40" i="1"/>
  <c r="P41" i="1"/>
  <c r="P42" i="1"/>
  <c r="P43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103" i="1"/>
  <c r="P104" i="1"/>
  <c r="P105" i="1"/>
  <c r="P106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" i="3"/>
</calcChain>
</file>

<file path=xl/sharedStrings.xml><?xml version="1.0" encoding="utf-8"?>
<sst xmlns="http://schemas.openxmlformats.org/spreadsheetml/2006/main" count="11550" uniqueCount="1027">
  <si>
    <t>Paper_Name</t>
  </si>
  <si>
    <t>Paper_ID</t>
  </si>
  <si>
    <t>Exp_ID</t>
  </si>
  <si>
    <t>Treatment_ID</t>
  </si>
  <si>
    <t>Measure_ID</t>
  </si>
  <si>
    <t>Exp_ID_Cleaned</t>
  </si>
  <si>
    <t>ES_ID</t>
  </si>
  <si>
    <t>Title</t>
  </si>
  <si>
    <t>Authors</t>
  </si>
  <si>
    <t>Year</t>
  </si>
  <si>
    <t>Industry</t>
  </si>
  <si>
    <t>Venue</t>
  </si>
  <si>
    <t>Exp_Design</t>
  </si>
  <si>
    <t>Comp_Type</t>
  </si>
  <si>
    <t>Task_Desc</t>
  </si>
  <si>
    <t>Task_Data</t>
  </si>
  <si>
    <t>Task_Data_Cleaned</t>
  </si>
  <si>
    <t>Task_Data_IsCategoric</t>
  </si>
  <si>
    <t>Task_Data_IsCode</t>
  </si>
  <si>
    <t>Task_Data_IsImage</t>
  </si>
  <si>
    <t>Task_Data_IsNumeric</t>
  </si>
  <si>
    <t>Task_Data_IsText</t>
  </si>
  <si>
    <t>Task_Data_IsVideo</t>
  </si>
  <si>
    <t>Task_Output</t>
  </si>
  <si>
    <t>Task_Output_Cleaned</t>
  </si>
  <si>
    <t>Task_Type</t>
  </si>
  <si>
    <t>AI_Type</t>
  </si>
  <si>
    <t>AI_Data_In</t>
  </si>
  <si>
    <t>AI_Data_Out</t>
  </si>
  <si>
    <t>AI_Type_Cleaned</t>
  </si>
  <si>
    <t>Final_Decision</t>
  </si>
  <si>
    <t>Division_Labor</t>
  </si>
  <si>
    <t>Condition_Name</t>
  </si>
  <si>
    <t>AI_Expl_Incl</t>
  </si>
  <si>
    <t>AI_Conf_Incl</t>
  </si>
  <si>
    <t>AI_Expl_Type</t>
  </si>
  <si>
    <t>Perf_Metric</t>
  </si>
  <si>
    <t>Perf_Metric_Cleaned</t>
  </si>
  <si>
    <t>Perf_Dir</t>
  </si>
  <si>
    <t>N_Exp</t>
  </si>
  <si>
    <t>N_Human</t>
  </si>
  <si>
    <t>N_HumanAI</t>
  </si>
  <si>
    <t>Participant_Type</t>
  </si>
  <si>
    <t>Participant_Type_2</t>
  </si>
  <si>
    <t>Participant_Source</t>
  </si>
  <si>
    <t>Participant_Expert</t>
  </si>
  <si>
    <t>Participant_Crowdworker</t>
  </si>
  <si>
    <t>Avg_Perf_Human</t>
  </si>
  <si>
    <t>Avg_Perf_AI</t>
  </si>
  <si>
    <t>Avg_Perf_HumanAI</t>
  </si>
  <si>
    <t>Avg_Perf_Human_Adj</t>
  </si>
  <si>
    <t>Avg_Perf_AI_Adj</t>
  </si>
  <si>
    <t>Avg_Perf_HumanAI_Adj</t>
  </si>
  <si>
    <t>Baseline</t>
  </si>
  <si>
    <t>Avg_Perf_Baseline_Adj</t>
  </si>
  <si>
    <t>Avg_Perf_Worse_Adj</t>
  </si>
  <si>
    <t>Synergy</t>
  </si>
  <si>
    <t>Sd_Perf_Human</t>
  </si>
  <si>
    <t>Sd_Perf_AI</t>
  </si>
  <si>
    <t>Sd_Perf_HumanAI</t>
  </si>
  <si>
    <t>Sd_Perf_Baseline</t>
  </si>
  <si>
    <t>Sd_Perf_Worse</t>
  </si>
  <si>
    <t>Est_ES</t>
  </si>
  <si>
    <t>Notes</t>
  </si>
  <si>
    <t>Notes_2</t>
  </si>
  <si>
    <t>Poursabzi-Sangdeh_2021</t>
  </si>
  <si>
    <t>5.1.1.1</t>
  </si>
  <si>
    <t>Manipulating and Measuring Model Interpretability</t>
  </si>
  <si>
    <t>Poursabzi-Sangdeh, Forough; Goldstein, Daniel G; Hofman, Jake M; Wortman Vaughan, Jennifer Wortman; Wallach, Hanna</t>
  </si>
  <si>
    <t>Business</t>
  </si>
  <si>
    <t>Proceedings of the 2021 CHI Conference on Human Factors in Computing Systems</t>
  </si>
  <si>
    <t>Mixed, Between-Subjects</t>
  </si>
  <si>
    <t>Independent Samples</t>
  </si>
  <si>
    <t>Predict housing prices</t>
  </si>
  <si>
    <t>Numeric</t>
  </si>
  <si>
    <t>No</t>
  </si>
  <si>
    <t>Yes</t>
  </si>
  <si>
    <t>Decide</t>
  </si>
  <si>
    <t>Shallow</t>
  </si>
  <si>
    <t>Human</t>
  </si>
  <si>
    <t>HAI = BB-2</t>
  </si>
  <si>
    <t>Prediction Error</t>
  </si>
  <si>
    <t>Error</t>
  </si>
  <si>
    <t>Down</t>
  </si>
  <si>
    <t>Crowdworkers</t>
  </si>
  <si>
    <t>MTurk</t>
  </si>
  <si>
    <t>AI</t>
  </si>
  <si>
    <t>5.1.2.1</t>
  </si>
  <si>
    <t>HAI = BB-8</t>
  </si>
  <si>
    <t>5.1.3.1</t>
  </si>
  <si>
    <t>HAI = CLEAR-2</t>
  </si>
  <si>
    <t>Image, Numeric</t>
  </si>
  <si>
    <t>5.1.4.1</t>
  </si>
  <si>
    <t>HAI = CLEAR-8</t>
  </si>
  <si>
    <t>5.2.1.1</t>
  </si>
  <si>
    <t>5.2.2.1</t>
  </si>
  <si>
    <t>5.2.3.1</t>
  </si>
  <si>
    <t>5.2.4.1</t>
  </si>
  <si>
    <t>5.3.1.1</t>
  </si>
  <si>
    <t>Mixed, Within-Subjects</t>
  </si>
  <si>
    <t>Dependent Samples</t>
  </si>
  <si>
    <t>5.3.2.1</t>
  </si>
  <si>
    <t>5.3.3.1</t>
  </si>
  <si>
    <t>5.3.4.1</t>
  </si>
  <si>
    <t>Bansal_2021</t>
  </si>
  <si>
    <t>6.3.1.1</t>
  </si>
  <si>
    <t>Does the Whole Exceed Its Parts? The Effect of AI Explanations on Complementary Team Performance</t>
  </si>
  <si>
    <t>Bansal, Gagan; Wu, Tongshuang; Zhou, Joyce; Fok, Raymond; Nushi, Besmira; Kamar, Ece; Ribeiro, Marco Tulio; Weld, Daniel</t>
  </si>
  <si>
    <t>Between-Subjects</t>
  </si>
  <si>
    <t>Answer LSAT questions</t>
  </si>
  <si>
    <t>Text</t>
  </si>
  <si>
    <t>Categoric</t>
  </si>
  <si>
    <t>Deep</t>
  </si>
  <si>
    <t>Categorical</t>
  </si>
  <si>
    <t>HAI = LSAT, Conf</t>
  </si>
  <si>
    <t>Accuracy</t>
  </si>
  <si>
    <t>Up</t>
  </si>
  <si>
    <t>HAI = Conf</t>
  </si>
  <si>
    <t>6.3.2.1</t>
  </si>
  <si>
    <t>HAI = LSAT, Explain-Top-1</t>
  </si>
  <si>
    <t>Image, Numeric, Text</t>
  </si>
  <si>
    <t>HAI = Explain-Top-1</t>
  </si>
  <si>
    <t>6.3.3.1</t>
  </si>
  <si>
    <t>HAI = LSAT, Explain-Top-2</t>
  </si>
  <si>
    <t>HAI = Explain-Top-2</t>
  </si>
  <si>
    <t>6.3.4.1</t>
  </si>
  <si>
    <t>HAI = LSAT, Adaptive</t>
  </si>
  <si>
    <t>HAI = Adaptive</t>
  </si>
  <si>
    <t>Kyriacou_2021</t>
  </si>
  <si>
    <t>7.1.2.1</t>
  </si>
  <si>
    <t>Learning to Work in a Materials Recovery Facility: Can Humans and Machines Learn from Each Other?</t>
  </si>
  <si>
    <t>Kyriacou, Harrison; Ramakrishnan, Anand; Whitehill, Jacob</t>
  </si>
  <si>
    <t>LAK21: 11th International Learning Analytics and Knowledge Conference</t>
  </si>
  <si>
    <t>Sort recyclables</t>
  </si>
  <si>
    <t>Image</t>
  </si>
  <si>
    <t>Binary</t>
  </si>
  <si>
    <t>HAI = P-P-N, Round 2</t>
  </si>
  <si>
    <t>Score</t>
  </si>
  <si>
    <t>Liu_2021</t>
  </si>
  <si>
    <t>9.2.1.1</t>
  </si>
  <si>
    <t>Understanding the Effect of Out-of-Distribution Examples and Interactive Explanations on Human-AI Decision Making</t>
  </si>
  <si>
    <t>Liu, Han; Lai, Vivian; Tan, Chenhao</t>
  </si>
  <si>
    <t>Proc. ACM Hum.-Comput. Interact.</t>
  </si>
  <si>
    <t>Predict a person's profession</t>
  </si>
  <si>
    <t>BIOS, IND, H = None/None, HAI = Static/Static</t>
  </si>
  <si>
    <t>WikiAttack, HAI = Predicted labels</t>
  </si>
  <si>
    <t>9.2.2.1</t>
  </si>
  <si>
    <t>BIOS, IND, H = None/None, HAI = Inter/Inter</t>
  </si>
  <si>
    <t>WikiAttack, HAI = Predicted labels + local explanations</t>
  </si>
  <si>
    <t>9.2.3.1</t>
  </si>
  <si>
    <t>BIOS, OOD, H = None/None, HAI = Static/Static</t>
  </si>
  <si>
    <t>WikiAttack, HAI = Predicted labels + local explanations + global explanations</t>
  </si>
  <si>
    <t>9.2.4.1</t>
  </si>
  <si>
    <t>BIOS, OOD, H = None/None, HAI = Inter/Inter</t>
  </si>
  <si>
    <t>Reddit, HAI = Predicted labels</t>
  </si>
  <si>
    <t>Ma_2023</t>
  </si>
  <si>
    <t>14.1.1.1</t>
  </si>
  <si>
    <t>Who Should I Trust: AI or Myself? Leveraging Human and AI Correctness Likelihood to Promote Appropriate Trust in AI-Assisted Decision-Making</t>
  </si>
  <si>
    <t>Ma, Shuai; Lei, Ying; Wang, Xinru; Zheng, Chengbo; Shi, Chuhan; Yin, Ming; Ma, Xiaojuan</t>
  </si>
  <si>
    <t>Proceedings of the 2023 CHI Conference on Human Factors in Computing Systems</t>
  </si>
  <si>
    <t>Determine if person's income exceeds $50,000</t>
  </si>
  <si>
    <t>Categoric, Numeric</t>
  </si>
  <si>
    <t>Multiple</t>
  </si>
  <si>
    <t>HAI = AI Confidence</t>
  </si>
  <si>
    <t>Prolific</t>
  </si>
  <si>
    <t>HAI = AI</t>
  </si>
  <si>
    <t>14.1.2.1</t>
  </si>
  <si>
    <t>HAI = Direct Display</t>
  </si>
  <si>
    <t>HAI = AI + BD</t>
  </si>
  <si>
    <t>14.1.3.1</t>
  </si>
  <si>
    <t>HAI = Adaptive Workflow</t>
  </si>
  <si>
    <t>14.1.4.1</t>
  </si>
  <si>
    <t>HAI = Adaptive Recommendation</t>
  </si>
  <si>
    <t>Lehmann_2022</t>
  </si>
  <si>
    <t>20.1.1.1</t>
  </si>
  <si>
    <t>The risk of algorithm transparency: How algorithm complexity drives the effects on the use of advice</t>
  </si>
  <si>
    <t>Lehmann, Cedric A.; Haubitz, Christiane B.; Fuegener, Andreas; Thonemann, Ulrich W.</t>
  </si>
  <si>
    <t>Production and Operations Management</t>
  </si>
  <si>
    <t>Forecast demand</t>
  </si>
  <si>
    <t>Continuous</t>
  </si>
  <si>
    <t>HAI = Nontransparent</t>
  </si>
  <si>
    <t>MAE</t>
  </si>
  <si>
    <t>H = TagLab Manual; HAI = TagLabEdit</t>
  </si>
  <si>
    <t>20.1.2.1</t>
  </si>
  <si>
    <t>HAI = Transparent-simple</t>
  </si>
  <si>
    <t>Numeric, Text</t>
  </si>
  <si>
    <t>H = TagLab Manual; HAI = TagLabAssisted</t>
  </si>
  <si>
    <t>20.1.3.1</t>
  </si>
  <si>
    <t>HAI = Transparent</t>
  </si>
  <si>
    <t>Skirzynski_2021</t>
  </si>
  <si>
    <t>27.1.1.1</t>
  </si>
  <si>
    <t>Automatic discovery of interpretable planning strategies</t>
  </si>
  <si>
    <t>Skirzynski, J; Becker, F; Lieder, F</t>
  </si>
  <si>
    <t>Machine Learning</t>
  </si>
  <si>
    <t>Plan a route</t>
  </si>
  <si>
    <t>Increasing Variance</t>
  </si>
  <si>
    <t>Image, Text</t>
  </si>
  <si>
    <t>Expected Score</t>
  </si>
  <si>
    <t>AI-FHD(Higher)</t>
  </si>
  <si>
    <t>27.2.1.1</t>
  </si>
  <si>
    <t>Decreasing Variance</t>
  </si>
  <si>
    <t>AI-XAI-FHD(Lower)</t>
  </si>
  <si>
    <t>27.3.1.1</t>
  </si>
  <si>
    <t>Constant Variance</t>
  </si>
  <si>
    <t>AI-XAI-FHD(Higher)</t>
  </si>
  <si>
    <t>Hemmer_2022</t>
  </si>
  <si>
    <t>68.1.2.1</t>
  </si>
  <si>
    <t>On the effect of information asymmetry in human-AI teams</t>
  </si>
  <si>
    <t>Hemmer, Patrick; Schemmer, Max; KÃ¼hl, Niklas; VÃ¶ssing, Michael; Satzger, Gerhard</t>
  </si>
  <si>
    <t>CHI Conference on Human Factors in Computing Systems (CHI â€™22), Workshop on
Human-Centered Explainable AI (HCXAI)</t>
  </si>
  <si>
    <t>UHCI</t>
  </si>
  <si>
    <t>Concurrent, AI, HAI = B, Noise = 125</t>
  </si>
  <si>
    <t>Chen_2023</t>
  </si>
  <si>
    <t>69.1.1.1</t>
  </si>
  <si>
    <t>Understanding the role of human intuition on reliance in human-AI decision-making with explanations</t>
  </si>
  <si>
    <t>Chen, Valerie; Liao, Q. Vera; Vaughan, Jennifer Wortman; Bansal, Gagan</t>
  </si>
  <si>
    <t>CSCW 2023</t>
  </si>
  <si>
    <t>Within-Subjects</t>
  </si>
  <si>
    <t>HAI = Feature-Based</t>
  </si>
  <si>
    <t>Volunteers</t>
  </si>
  <si>
    <t>Email, Twitter</t>
  </si>
  <si>
    <t>Concurrent, AI, HAI = B, Noise = 140</t>
  </si>
  <si>
    <t>69.1.2.1</t>
  </si>
  <si>
    <t>HAI = Example-Based</t>
  </si>
  <si>
    <t>Concurrent, AI, HAI = B, Noise = 155</t>
  </si>
  <si>
    <t>69.2.1.1</t>
  </si>
  <si>
    <t>Concurrent, AI, HAI = B, Noise = 170</t>
  </si>
  <si>
    <t>69.2.2.1</t>
  </si>
  <si>
    <t>Concurrent, AI, HAI = C, Noise = 0</t>
  </si>
  <si>
    <t>Elder_2022</t>
  </si>
  <si>
    <t>72.1.1.1</t>
  </si>
  <si>
    <t>Knowing when to pass: The effect of AI reliability in risky decision contexts</t>
  </si>
  <si>
    <t>Elder, Hannah; Canfield, Casey; Shank, Daniel B.; Rieger, Tobias; Hines, Casey</t>
  </si>
  <si>
    <t>Human Factors</t>
  </si>
  <si>
    <t>Predict basketball games</t>
  </si>
  <si>
    <t>Wizard of Oz</t>
  </si>
  <si>
    <t>Low Acc</t>
  </si>
  <si>
    <t>72.1.1.2</t>
  </si>
  <si>
    <t>Sensitivity (d')</t>
  </si>
  <si>
    <t>Error Rate</t>
  </si>
  <si>
    <t>72.1.1.3</t>
  </si>
  <si>
    <t>Response Bias</t>
  </si>
  <si>
    <t>72.1.2.1</t>
  </si>
  <si>
    <t>High Acc</t>
  </si>
  <si>
    <t>72.1.2.2</t>
  </si>
  <si>
    <t>72.1.2.3</t>
  </si>
  <si>
    <t>Bondi_2022</t>
  </si>
  <si>
    <t>74.1.1.1</t>
  </si>
  <si>
    <t>Role of human-AI interaction in selective prediction</t>
  </si>
  <si>
    <t>Bondi, Elizabeth; Koster, Raphael; Sheahan, Hannah; Chadwick, Martin; Bachrach, Yoram; Cemgil, Taylan; Paquet, Ulrich; Dvijotham, Krishnamurthy</t>
  </si>
  <si>
    <t>Proceedings of the AAAI Conference on Artificial Intelligence</t>
  </si>
  <si>
    <t>Detect animal in image</t>
  </si>
  <si>
    <t>H = NM, HAI = DO</t>
  </si>
  <si>
    <t>74.1.2.1</t>
  </si>
  <si>
    <t>H = NM, HAI = PO</t>
  </si>
  <si>
    <t>74.1.3.1</t>
  </si>
  <si>
    <t>H = NM, HAI = BM</t>
  </si>
  <si>
    <t>Lu_Peng_2024</t>
  </si>
  <si>
    <t>Lu_Peng_2024_1</t>
  </si>
  <si>
    <t>Human-AI Collaboration: Unraveling the Effects of User Proficiency and AI Agent Capability in Intelligent Decision Support Systems</t>
  </si>
  <si>
    <t>Lu Peng, Xiangbin Yan, Yunan Hu, Xin Luo</t>
  </si>
  <si>
    <t>Decision Support Systems</t>
  </si>
  <si>
    <t>Between-subjects</t>
  </si>
  <si>
    <t>Decision-making accuracy in an AI-assisted decision support system</t>
  </si>
  <si>
    <t>Human alone, AI alone, Human-AI collaboration</t>
  </si>
  <si>
    <t>Text-based decision rationale</t>
  </si>
  <si>
    <t>Performance measured as accuracy in AI-assisted decision support tasks</t>
  </si>
  <si>
    <t>Human-AI collaboration improved accuracy but did not exceed AI baseline</t>
  </si>
  <si>
    <t>Carton_2020</t>
  </si>
  <si>
    <t>43.1.1.1</t>
  </si>
  <si>
    <t>Feature-based explanations don't help people detect misclassifications of online toxicity</t>
  </si>
  <si>
    <t>Carton, Samuel; Mei, Qiaozhu; Resnick, Paul</t>
  </si>
  <si>
    <t>Communication</t>
  </si>
  <si>
    <t>Proceedings of the international AAAI conference on web and social media</t>
  </si>
  <si>
    <t>Classify toxic comments</t>
  </si>
  <si>
    <t>HAI = Pred + no exp</t>
  </si>
  <si>
    <t>HAI = Pred + full exp</t>
  </si>
  <si>
    <t>43.1.1.2</t>
  </si>
  <si>
    <t>FNR</t>
  </si>
  <si>
    <t>HAI = Pred + partial exp</t>
  </si>
  <si>
    <t>43.1.1.3</t>
  </si>
  <si>
    <t>FPR</t>
  </si>
  <si>
    <t>HAI = keyword exp</t>
  </si>
  <si>
    <t>43.1.2.1</t>
  </si>
  <si>
    <t>HAI = No pred + full exp</t>
  </si>
  <si>
    <t>43.1.2.2</t>
  </si>
  <si>
    <t>H = traditional, AI = Non-Interactive RB1, HAI = Interactive RB 10</t>
  </si>
  <si>
    <t>43.1.2.3</t>
  </si>
  <si>
    <t>H = traditional, AI = Non-Interactive HM1, HAI = Interactive HM 10</t>
  </si>
  <si>
    <t>43.1.3.1</t>
  </si>
  <si>
    <t>Image; HAI = grid</t>
  </si>
  <si>
    <t>43.1.3.2</t>
  </si>
  <si>
    <t>Image; HAI = tree</t>
  </si>
  <si>
    <t>43.1.3.3</t>
  </si>
  <si>
    <t>Image; HAI = graph</t>
  </si>
  <si>
    <t>43.1.4.1</t>
  </si>
  <si>
    <t>Roses; HAI = grid</t>
  </si>
  <si>
    <t>43.1.4.2</t>
  </si>
  <si>
    <t>Roses; HAI = tree</t>
  </si>
  <si>
    <t>43.1.4.3</t>
  </si>
  <si>
    <t>Roses; HAI = graph</t>
  </si>
  <si>
    <t>43.1.5.1</t>
  </si>
  <si>
    <t>Non-anchor</t>
  </si>
  <si>
    <t>43.1.5.2</t>
  </si>
  <si>
    <t>43.1.5.3</t>
  </si>
  <si>
    <t>Lai_2020</t>
  </si>
  <si>
    <t>1.1.1.1</t>
  </si>
  <si>
    <t>"Why is 'Chicago' Deceptive?" Towards Building Model-Driven Tutorials for Humans</t>
  </si>
  <si>
    <t>Lai, Vivian; Liu, Han; Tan, Chenhao</t>
  </si>
  <si>
    <t>Proceedings of the 2020 CHI Conference on Human Factors in Computing Systems</t>
  </si>
  <si>
    <t>Detect deceptive hotel reviews</t>
  </si>
  <si>
    <t>HAI = Guidelines</t>
  </si>
  <si>
    <t>1.1.2.1</t>
  </si>
  <si>
    <t>HAI = Random explanation</t>
  </si>
  <si>
    <t>1.1.3.1</t>
  </si>
  <si>
    <t>HAI = SP-LIME</t>
  </si>
  <si>
    <t>1.1.4.1</t>
  </si>
  <si>
    <t>HAI = SR</t>
  </si>
  <si>
    <t>1.1.5.1</t>
  </si>
  <si>
    <t>HAI = SR + guidelines</t>
  </si>
  <si>
    <t>1.2.1.1</t>
  </si>
  <si>
    <t>HAI = Unigned</t>
  </si>
  <si>
    <t>1.2.2.1</t>
  </si>
  <si>
    <t>HAI = Signed</t>
  </si>
  <si>
    <t>1.2.3.1</t>
  </si>
  <si>
    <t>HAI = Signed + predicted label</t>
  </si>
  <si>
    <t>1.2.4.1</t>
  </si>
  <si>
    <t>HAI = Signed + predicted label + guidelines</t>
  </si>
  <si>
    <t>1.2.5.1</t>
  </si>
  <si>
    <t>HAI = Signed + predicted label + guidelines + accuracy</t>
  </si>
  <si>
    <t>1.3.1.1</t>
  </si>
  <si>
    <t>HAI = SVM, no training</t>
  </si>
  <si>
    <t>1.3.2.1</t>
  </si>
  <si>
    <t>HAI = SVM, training</t>
  </si>
  <si>
    <t>1.3.3.1</t>
  </si>
  <si>
    <t>HAI = BERT-ATT, no training</t>
  </si>
  <si>
    <t>1.3.4.1</t>
  </si>
  <si>
    <t>HAI = BERT-ATT, training</t>
  </si>
  <si>
    <t>1.3.5.1</t>
  </si>
  <si>
    <t>HAI = BERT-LIME, no training</t>
  </si>
  <si>
    <t>1.3.6.1</t>
  </si>
  <si>
    <t>HAI = BERT-LIME, training</t>
  </si>
  <si>
    <t>Jiang_2020</t>
  </si>
  <si>
    <t>3.1.1.1</t>
  </si>
  <si>
    <t>Response Quality in Human-Chatbot Collaborative Systems</t>
  </si>
  <si>
    <t>Jiang, Jiepu; Ahuja, Naman</t>
  </si>
  <si>
    <t>Proceedings of the 43rd International ACM SIGIR Conference on Research and Development in Information Retrieval</t>
  </si>
  <si>
    <t>Engage in a conversation</t>
  </si>
  <si>
    <t>Open Response</t>
  </si>
  <si>
    <t>Create</t>
  </si>
  <si>
    <t>HAI = C1, 1 suggestion</t>
  </si>
  <si>
    <t>Informativeness</t>
  </si>
  <si>
    <t>Quality</t>
  </si>
  <si>
    <t>3.1.2.1</t>
  </si>
  <si>
    <t>HAI = C1, 3 suggestions</t>
  </si>
  <si>
    <t>3.1.3.1</t>
  </si>
  <si>
    <t>HAI = C1, 5 suggestions</t>
  </si>
  <si>
    <t>3.1.4.1</t>
  </si>
  <si>
    <t>HAI = C2, 1 suggestion</t>
  </si>
  <si>
    <t>3.1.5.1</t>
  </si>
  <si>
    <t>HAI = C2, 3 suggestions</t>
  </si>
  <si>
    <t>3.1.6.1</t>
  </si>
  <si>
    <t>HAI = C2, 5 suggestions</t>
  </si>
  <si>
    <t>6.1.1.1</t>
  </si>
  <si>
    <t>Classify beer reviews</t>
  </si>
  <si>
    <t>HAI = Beer, Conf</t>
  </si>
  <si>
    <t>6.1.2.1</t>
  </si>
  <si>
    <t>HAI = Beer, Explain-Top-1</t>
  </si>
  <si>
    <t>6.1.3.1</t>
  </si>
  <si>
    <t>HAI = Beer, Explain-Top-2</t>
  </si>
  <si>
    <t>6.1.4.1</t>
  </si>
  <si>
    <t>HAI = Beer, Adaptive</t>
  </si>
  <si>
    <t>6.2.1.1</t>
  </si>
  <si>
    <t>Classify Amazon reviews</t>
  </si>
  <si>
    <t>HAI = Amazon, Conf</t>
  </si>
  <si>
    <t>6.2.2.1</t>
  </si>
  <si>
    <t>HAI = Amazon, Explain-Top-1</t>
  </si>
  <si>
    <t>6.2.3.1</t>
  </si>
  <si>
    <t>HAI = Amazon, Explain-Top-2</t>
  </si>
  <si>
    <t>6.2.4.1</t>
  </si>
  <si>
    <t>HAI = Amazon, Adaptive</t>
  </si>
  <si>
    <t>Gao_2021</t>
  </si>
  <si>
    <t>8.1.1.1</t>
  </si>
  <si>
    <t>Evaluating Human-AI Hybrid Conversational Systems with Chatbot Message Suggestions</t>
  </si>
  <si>
    <t>Gao, Zihan; Jiang, Jiepu</t>
  </si>
  <si>
    <t>Proceedings of the 30th ACM International Conference on Information &amp;amp; Knowledge Management</t>
  </si>
  <si>
    <t>HAI = RetWiki</t>
  </si>
  <si>
    <t>8.1.2.1</t>
  </si>
  <si>
    <t>HAI = RetBest</t>
  </si>
  <si>
    <t>8.1.3.1</t>
  </si>
  <si>
    <t>HAI = RetWorst</t>
  </si>
  <si>
    <t>8.1.4.1</t>
  </si>
  <si>
    <t>Lai_2022b</t>
  </si>
  <si>
    <t>10.1.1.1</t>
  </si>
  <si>
    <t>Human-AI Collaboration via Conditional Delegation: A Case Study of Content Moderation</t>
  </si>
  <si>
    <t>Lai, Vivian; Carton, Samuel; Bhatnagar, Rajat; Liao, Q. Vera; Zhang, Yunfeng; Tan, Chenhao</t>
  </si>
  <si>
    <t>Proceedings of the 2022 CHI Conference on Human Factors in Computing Systems</t>
  </si>
  <si>
    <t>Moderate content</t>
  </si>
  <si>
    <t>Precision</t>
  </si>
  <si>
    <t>Reddit, HAI = Predicted labels + local explanations</t>
  </si>
  <si>
    <t>10.1.2.1</t>
  </si>
  <si>
    <t>Reddit, HAI = Predicted labels + local explanations + global explanations</t>
  </si>
  <si>
    <t>10.1.3.1</t>
  </si>
  <si>
    <t>No tutorial, with xai</t>
  </si>
  <si>
    <t>10.2.1.1</t>
  </si>
  <si>
    <t>With tutorial, with xai</t>
  </si>
  <si>
    <t>10.2.2.1</t>
  </si>
  <si>
    <t>HAI = Constant Time</t>
  </si>
  <si>
    <t>10.2.3.1</t>
  </si>
  <si>
    <t>HAI = Random time</t>
  </si>
  <si>
    <t>Cabrera_2023</t>
  </si>
  <si>
    <t>15.1.1.1</t>
  </si>
  <si>
    <t>Improving Human-AI Collaboration with Descriptions of AI Behavior</t>
  </si>
  <si>
    <t>Cabrera, Ãngel Alexander; Perer, Adam; Hong, Jason I.</t>
  </si>
  <si>
    <t>Detect fake hotel reviews</t>
  </si>
  <si>
    <t>15.1.2.1</t>
  </si>
  <si>
    <t>Schemmer_2023</t>
  </si>
  <si>
    <t>16.1.1.1</t>
  </si>
  <si>
    <t>Appropriate Reliance on AI Advice: Conceptualization and the Effect of Explanations</t>
  </si>
  <si>
    <t>Schemmer, Max; Kuehl, Niklas; Benz, Carina; Bartos, Andrea; Satzger, Gerhard</t>
  </si>
  <si>
    <t>Proceedings of the 28th International Conference on Intelligent User Interfaces</t>
  </si>
  <si>
    <t>HAI = Control</t>
  </si>
  <si>
    <t>HAI = Selective Counterfactual</t>
  </si>
  <si>
    <t>16.1.2.1</t>
  </si>
  <si>
    <t>HAI = Feature Importance</t>
  </si>
  <si>
    <t>HAI = Complete Feature Attr.</t>
  </si>
  <si>
    <t>Papenmeier_2022</t>
  </si>
  <si>
    <t>23.1.1.1</t>
  </si>
  <si>
    <t>Papenmeier, Andrea; Kern, Dagmar; Englebienne, Gwenn; Seifert, Christin</t>
  </si>
  <si>
    <t>ACM Transactions on Computer-Human Interaction (TOCHI)</t>
  </si>
  <si>
    <t>Classify Tweets with and without offensive langauge and hate speech</t>
  </si>
  <si>
    <t>HF</t>
  </si>
  <si>
    <t>Reddit; HAI = AI post-edit</t>
  </si>
  <si>
    <t>23.1.2.1</t>
  </si>
  <si>
    <t>HR</t>
  </si>
  <si>
    <t>Xsum; HAI = AI post-edit</t>
  </si>
  <si>
    <t>23.1.3.1</t>
  </si>
  <si>
    <t>HN</t>
  </si>
  <si>
    <t>Data received from author</t>
  </si>
  <si>
    <t>23.1.4.1</t>
  </si>
  <si>
    <t>MF</t>
  </si>
  <si>
    <t>23.1.5.1</t>
  </si>
  <si>
    <t>MR</t>
  </si>
  <si>
    <t>23.1.6.1</t>
  </si>
  <si>
    <t>MN</t>
  </si>
  <si>
    <t>23.1.7.1</t>
  </si>
  <si>
    <t>AF</t>
  </si>
  <si>
    <t>AI = Incorrect, Explanation = Heuristic based</t>
  </si>
  <si>
    <t>23.1.8.1</t>
  </si>
  <si>
    <t>AR</t>
  </si>
  <si>
    <t>Unlimited Time</t>
  </si>
  <si>
    <t>23.1.9.1</t>
  </si>
  <si>
    <t>AN</t>
  </si>
  <si>
    <t>2-Minute</t>
  </si>
  <si>
    <t>Lai_2022</t>
  </si>
  <si>
    <t>24.1.1.1</t>
  </si>
  <si>
    <t>An Exploration of Post-Editing Effectiveness in Text Summarization</t>
  </si>
  <si>
    <t>Lai, V; Smith-Renner, A; Zhang, K; Cheng, RJ; Zhang, WJ; Tetreault, J; Jaimes, A; ASSOC COMPUTAT LINGUIST</t>
  </si>
  <si>
    <t>Proceedings of the 2022 Conference of the North American Chapter of the Association for Computational Linguistics: Human Language Technologies</t>
  </si>
  <si>
    <t>Summarize social media posts</t>
  </si>
  <si>
    <t xml:space="preserve">Generative </t>
  </si>
  <si>
    <t>Upwork</t>
  </si>
  <si>
    <t>24.1.2.1</t>
  </si>
  <si>
    <t>Lai, V; Smith-Renner, A; Zhang, K; Cheng, RJ; Zhang, WJ; Tetreault, J; Jaimes, A</t>
  </si>
  <si>
    <t>Przybyla_2021</t>
  </si>
  <si>
    <t>38.1.1.1</t>
  </si>
  <si>
    <t>When classification accuracy is not enough: Explaining news credibility assessment</t>
  </si>
  <si>
    <t>Przybyla, P; Soto, AJ</t>
  </si>
  <si>
    <t>Information Processing &amp; Management</t>
  </si>
  <si>
    <t>Determine credibility of news articles</t>
  </si>
  <si>
    <t>AI = Stylometric</t>
  </si>
  <si>
    <t>Not Specified</t>
  </si>
  <si>
    <t>Specialists (Expert)</t>
  </si>
  <si>
    <t>38.1.2.1</t>
  </si>
  <si>
    <t>AI = Neutral</t>
  </si>
  <si>
    <t>HAI = AI only</t>
  </si>
  <si>
    <t>Groh_2022</t>
  </si>
  <si>
    <t>51.1.1.1</t>
  </si>
  <si>
    <t>Deepfake detection by human crowds, machines, and machine-informed crowds</t>
  </si>
  <si>
    <t>Groh, Matthew; Epstein, Ziv; Firestone, Chaz; Picard, Rosalind</t>
  </si>
  <si>
    <t>PNAS</t>
  </si>
  <si>
    <t>Detect deepfakes</t>
  </si>
  <si>
    <t>Video</t>
  </si>
  <si>
    <t>HAI = AI + explanation</t>
  </si>
  <si>
    <t>51.2.2.1</t>
  </si>
  <si>
    <t>HAI = AI alone</t>
  </si>
  <si>
    <t>Website</t>
  </si>
  <si>
    <t>Desmond_2021</t>
  </si>
  <si>
    <t>4.1.1.1</t>
  </si>
  <si>
    <t>Increasing the Speed and Accuracy of Data Labeling Through an AI Assisted Interface</t>
  </si>
  <si>
    <t>Desmond, Michael; Muller, Michael; Ashktorab, Zahra; Dugan, Casey; Duesterwald, Evelyn; Brimijoin, Kristina; Finegan-Dollak, Catherine; Brachman, Michelle; Sharma, Aabhas; Joshi, Narendra Nath; Pan, Qian</t>
  </si>
  <si>
    <t>26th International Conference on Intelligent User Interfaces</t>
  </si>
  <si>
    <t>Label customer inquiries</t>
  </si>
  <si>
    <t>HAI = Weak assistance</t>
  </si>
  <si>
    <t>4.1.2.1</t>
  </si>
  <si>
    <t>HAI = Strong assistance</t>
  </si>
  <si>
    <t>Lu_2022</t>
  </si>
  <si>
    <t>75.2.1.1</t>
  </si>
  <si>
    <t>The Effects of AI-based Credibility Indicators on the Detection and Spread of Misinformation under Social Influence</t>
  </si>
  <si>
    <t>Lu, Zhuoran; Li, Patrick; Wang, Weilong; Yin, Ming</t>
  </si>
  <si>
    <t>Proceedings of the ACM on Human-Computer Interaction</t>
  </si>
  <si>
    <t>With social influence, HAI = Before</t>
  </si>
  <si>
    <t>75.2.3.1</t>
  </si>
  <si>
    <t>No social influence, HAI = Before</t>
  </si>
  <si>
    <t>75.2.4.1</t>
  </si>
  <si>
    <t>No social influence, HAI = After</t>
  </si>
  <si>
    <t>75.1.1.1</t>
  </si>
  <si>
    <t>H = Control, HAI = Before</t>
  </si>
  <si>
    <t>Lippert_2024</t>
  </si>
  <si>
    <t>Lippert_2024_1</t>
  </si>
  <si>
    <t>Can Large Language Models Help Predict Results from a Complex Behavioural Science Study?</t>
  </si>
  <si>
    <t>Lippert, Steffen; Dreber, Anna; Johannesson, Magnus; Tierney, Warren; Cyrus-Lai, Wilson; Uhlmann, Eric Luis; Pfeiffer, Thomas</t>
  </si>
  <si>
    <t>Royal Society Open Science</t>
  </si>
  <si>
    <t>Predicting behavioral science study outcomes</t>
  </si>
  <si>
    <t>Text-based explanations</t>
  </si>
  <si>
    <t>Experts</t>
  </si>
  <si>
    <t>Academic research study</t>
  </si>
  <si>
    <t>Performance measured as correlation between forecasted and actual effect sizes</t>
  </si>
  <si>
    <t>Human-AI collaboration outperformed both humans and AI alone</t>
  </si>
  <si>
    <t>Vodrahalli_2022</t>
  </si>
  <si>
    <t>79.1.1.1</t>
  </si>
  <si>
    <t>Do humans trust advice more if it comes from AI? An analysis of human-AI interactions</t>
  </si>
  <si>
    <t>Vodrahalli, Kailas; Daneshjou, Roxana; Gerstenberg, Tobias; Zou, James</t>
  </si>
  <si>
    <t>Concurrent, AI, HAI = A, Noise = 155</t>
  </si>
  <si>
    <t>79.2.1.1</t>
  </si>
  <si>
    <t>Concurrent, AI, HAI = A, Noise = 170</t>
  </si>
  <si>
    <t>79.5.1.1</t>
  </si>
  <si>
    <t>Dermatologists</t>
  </si>
  <si>
    <t>Email Lists, Social Media</t>
  </si>
  <si>
    <t>Concurrent, AI, HAI = B, Noise = 0</t>
  </si>
  <si>
    <t>79.4.1.1</t>
  </si>
  <si>
    <t>Concurrent, AI, HAI = B, Noise = 80</t>
  </si>
  <si>
    <t>79.3.1.1</t>
  </si>
  <si>
    <t>Concurrent, AI, HAI = B, Noise = 95</t>
  </si>
  <si>
    <t>It's Complicated: The Relationship between User Trust, Model Accuracy and Explanations in AI</t>
  </si>
  <si>
    <t>Row Labels</t>
  </si>
  <si>
    <t>(blank)</t>
  </si>
  <si>
    <t>Grand Total</t>
  </si>
  <si>
    <t>Count of Title</t>
  </si>
  <si>
    <t>CHI Conference on Human Factors in Computing Systems (CHI '22), Workshop on
Human-Centered Explainable AI (HCXAI)</t>
  </si>
  <si>
    <t>Marketing_Task</t>
  </si>
  <si>
    <t>Marketing-Related Task Category</t>
  </si>
  <si>
    <t>Predict a person’s profession</t>
  </si>
  <si>
    <t>Determine if person’s income exceeds $50,000</t>
  </si>
  <si>
    <t>Classify Tweets with and without offensive language and hate speech</t>
  </si>
  <si>
    <t>Rule-Based</t>
  </si>
  <si>
    <t>Simulated-AI</t>
  </si>
  <si>
    <t>Demand Forecasting</t>
  </si>
  <si>
    <t>Customer Segmentation</t>
  </si>
  <si>
    <t>Review Analysis</t>
  </si>
  <si>
    <t>Social Listening</t>
  </si>
  <si>
    <t>Customer Service</t>
  </si>
  <si>
    <t>Reverberi_2022</t>
  </si>
  <si>
    <t>2.1.1.1</t>
  </si>
  <si>
    <t>Experimental evidence of effective human-AI collaboration in medical decision-making</t>
  </si>
  <si>
    <t>Reverberi, C., Rigon, T., Solari, A. et al.</t>
  </si>
  <si>
    <t>Healthcare</t>
  </si>
  <si>
    <t>Scientific Reports</t>
  </si>
  <si>
    <t>Diagnose lesions from colonoscopy images</t>
  </si>
  <si>
    <t>Expert</t>
  </si>
  <si>
    <t>Endoscopists (expert)</t>
  </si>
  <si>
    <t>Invitation</t>
  </si>
  <si>
    <t>2.1.2.1</t>
  </si>
  <si>
    <t>Non-Expert</t>
  </si>
  <si>
    <t>Endoscopists (non-expert)</t>
  </si>
  <si>
    <t>Specialists (Non-Expert)</t>
  </si>
  <si>
    <t>He_2023b</t>
  </si>
  <si>
    <t>11.1.1.1</t>
  </si>
  <si>
    <t>Knowing About Knowing: An Illusion of Human Competence Can Hinder Appropriate Reliance on AI Systems</t>
  </si>
  <si>
    <t>He, Gaole; Kuiper, Lucie; Gadiraju, Ujwal</t>
  </si>
  <si>
    <t>Solve logical reasoning task</t>
  </si>
  <si>
    <t>HAI = Confidence-based time</t>
  </si>
  <si>
    <t>11.1.2.1</t>
  </si>
  <si>
    <t>HAI = Confidence-based time with explanation</t>
  </si>
  <si>
    <t>Bulten_2021</t>
  </si>
  <si>
    <t>22.1.1.1</t>
  </si>
  <si>
    <t>Artificial intelligence assistance significantly improves Gleason grading of prostate biopsies by pathologists</t>
  </si>
  <si>
    <t>Bulten, W; Balkenhol, M; Belinga, JJA; Brilhante, A; Cakir, A; Egevad, L; Eklund, M; Farre, X; Geronatsiou, K; Molinie, V; Pereira, G; Roy, P; Saile, G; Salles, P; Schaafsma, E; Tschui, J; Vos, AM; van Boven, H; Vink, R; van der Laak, J; Hulsbergen-van der Kaa, C; Litjens, G; ISUP Pathology Imagebase Expert Pa</t>
  </si>
  <si>
    <t>Modern Pathology</t>
  </si>
  <si>
    <t>Grade prostrate biopsies</t>
  </si>
  <si>
    <t>Cohen's Kappa</t>
  </si>
  <si>
    <t>Pathologists</t>
  </si>
  <si>
    <t>StdDevs received from author</t>
  </si>
  <si>
    <t>Gu_2023</t>
  </si>
  <si>
    <t>25.1.1.1</t>
  </si>
  <si>
    <t>Augmenting Pathologists with NaviPath: Design and Evaluation of a Human-AI Collaborative Navigation System</t>
  </si>
  <si>
    <t>Gu, Hongyan; Yang, Chunxu; Haeri, Mohammad; Wang, Jing; Tang, Shirley; Yan, Wenzhong; He, Shujin; Williams, Christopher Kazu; Magaki, Shino; Chen, Xiang'Anthony'</t>
  </si>
  <si>
    <t>Classify images of canine mammary</t>
  </si>
  <si>
    <t>HAI = With Navipath</t>
  </si>
  <si>
    <t>HD1-AI-FHD(Lower)</t>
  </si>
  <si>
    <t>25.1.1.2</t>
  </si>
  <si>
    <t>Recall</t>
  </si>
  <si>
    <t>HD1-AI-FHD(Higher)</t>
  </si>
  <si>
    <t>Intharah_2023</t>
  </si>
  <si>
    <t>26.1.1.1</t>
  </si>
  <si>
    <t>BiTNet: Hybrid deep convolutional model for ultrasound image analysis of human biliary tract and its applications</t>
  </si>
  <si>
    <t>Intharah, T; Wiratchawa, K; Wanna, Y; Junsawang, P; Titapun, A; Techasen, A; Boonrod, A; Laopaiboon, V; Chamadol, N; Khuntikeo, N</t>
  </si>
  <si>
    <t>Artificial Intelligence in Medicine</t>
  </si>
  <si>
    <t>Classify ultrasound images</t>
  </si>
  <si>
    <t>HAI = Assisted</t>
  </si>
  <si>
    <t>Physicians</t>
  </si>
  <si>
    <t>HD1-AI-XAI-FHD(Lower)</t>
  </si>
  <si>
    <t>26.1.1.2</t>
  </si>
  <si>
    <t>HD1-AI-XAI-FHD(Higher)</t>
  </si>
  <si>
    <t>26.1.1.3</t>
  </si>
  <si>
    <t>AI-FHD(Lower)</t>
  </si>
  <si>
    <t>Jacobs_2021</t>
  </si>
  <si>
    <t>28.1.1.1</t>
  </si>
  <si>
    <t>How machine-learning recommendations influence clinician treatment selections: the example of the antidepressant selection</t>
  </si>
  <si>
    <t>Jacobs, M; Pradier, MF; McCoy, TH; Perlis, RH; Doshi-Velez, F; Gajos, KZ</t>
  </si>
  <si>
    <t xml:space="preserve">Translational Psychiatry </t>
  </si>
  <si>
    <t>Select drug for patient</t>
  </si>
  <si>
    <t>AI = Correct, Explanation = None</t>
  </si>
  <si>
    <t>Social Media, Snowball Sampling</t>
  </si>
  <si>
    <t>HD1-AI-FHD(Novice)</t>
  </si>
  <si>
    <t>AI = Incorrect, Explanation = None</t>
  </si>
  <si>
    <t>HD1-AI-FHD(Expert)</t>
  </si>
  <si>
    <t>28.1.2.1</t>
  </si>
  <si>
    <t>AI = Correct, Explanation = Placebo</t>
  </si>
  <si>
    <t>HD1-AI-HD2-XAI-FHD(Novice)</t>
  </si>
  <si>
    <t>AI = Incorrect, Explanation = Placebo</t>
  </si>
  <si>
    <t>HD1-AI-HD2-XAI-FHD(Expert)</t>
  </si>
  <si>
    <t>28.1.3.1</t>
  </si>
  <si>
    <t>AI = Correct, Explanation = Feature-based</t>
  </si>
  <si>
    <t>AI-FHD(Novice)</t>
  </si>
  <si>
    <t>AI = Incorrect, Explanation = Feature-based</t>
  </si>
  <si>
    <t>AI-FHD(Expert)</t>
  </si>
  <si>
    <t>28.1.4.1</t>
  </si>
  <si>
    <t>AI = Correct, Explanation = Heuristic based</t>
  </si>
  <si>
    <t>AI-HD2-XAI-FHD(Novice)</t>
  </si>
  <si>
    <t>AI-HD2-XAI-FHD(Expert)</t>
  </si>
  <si>
    <t>Li_2022</t>
  </si>
  <si>
    <t>29.1.1.1</t>
  </si>
  <si>
    <t>How does the artificial intelligence-based image-assisted technique help physicians in diagnosis of pulmonary adenocarcinoma? A randomized controlled experiment of multicenter physicians in China</t>
  </si>
  <si>
    <t>Li, JY; Zhou, LX; Zhan, Y; Xu, HF; Zhang, C; Shan, F; Liu, L</t>
  </si>
  <si>
    <t>Journal of the American Medical Informatics Association</t>
  </si>
  <si>
    <t>Diagnose patient case</t>
  </si>
  <si>
    <t>Hospital</t>
  </si>
  <si>
    <t>29.1.2.1</t>
  </si>
  <si>
    <t>Cabitza_2023</t>
  </si>
  <si>
    <t>31.1.1.1</t>
  </si>
  <si>
    <t>Rams, hounds and white boxes: Investigating human-AI collaboration protocols in medical diagnosis</t>
  </si>
  <si>
    <t>Cabitza, F; Campagner, A; Ronzio, L; Cameli, M; Mandoli, GE; Pastore, MC; Sconfienza, LM; Folgado, D; Barandas, M; Gamboa, H</t>
  </si>
  <si>
    <t>Diagnose MRI images</t>
  </si>
  <si>
    <t>Radiologists</t>
  </si>
  <si>
    <t>HAI = AI+Expl</t>
  </si>
  <si>
    <t>Ask for data from authors</t>
  </si>
  <si>
    <t>31.1.2.1</t>
  </si>
  <si>
    <t>Cataract phase recognition; users are shown three models, we consider the best performing model</t>
  </si>
  <si>
    <t>31.1.3.1</t>
  </si>
  <si>
    <t>Cataract step recognition; users are shown three models, we consider the best performing model</t>
  </si>
  <si>
    <t>31.1.4.1</t>
  </si>
  <si>
    <t>31.1.5.1</t>
  </si>
  <si>
    <t>Diagnose ECG cases</t>
  </si>
  <si>
    <t>31.1.6.1</t>
  </si>
  <si>
    <t>31.1.7.1</t>
  </si>
  <si>
    <t>31.1.8.1</t>
  </si>
  <si>
    <t>First run</t>
  </si>
  <si>
    <t>31.2.1.1</t>
  </si>
  <si>
    <t>Cardiologists</t>
  </si>
  <si>
    <t>HAI = Just disply recommendation</t>
  </si>
  <si>
    <t>31.2.2.1</t>
  </si>
  <si>
    <t>Residents</t>
  </si>
  <si>
    <t>HAI = Optional display</t>
  </si>
  <si>
    <t>31.2.3.1</t>
  </si>
  <si>
    <t>HAI = Forced acknowledgement</t>
  </si>
  <si>
    <t>31.2.4.1</t>
  </si>
  <si>
    <t>HAI = Reminder of 75%</t>
  </si>
  <si>
    <t>31.2.5.1</t>
  </si>
  <si>
    <t>HAI = 80</t>
  </si>
  <si>
    <t>31.2.6.1</t>
  </si>
  <si>
    <t>Numbers slightly different from paper because we average across participants' accuracies for consistency with other studies  (some participants see more articles than others)</t>
  </si>
  <si>
    <t>31.2.7.1</t>
  </si>
  <si>
    <t>31.2.8.1</t>
  </si>
  <si>
    <t>Lecuyer_2020</t>
  </si>
  <si>
    <t>34.1.1.1</t>
  </si>
  <si>
    <t>Assisted phase and step annotation for surgical videos</t>
  </si>
  <si>
    <t>Lecuyer, G; Ragot, M; Martin, N; Launay, L; Jannin, P</t>
  </si>
  <si>
    <t>International Journal of Computer Assisted Radiology and Surgery</t>
  </si>
  <si>
    <t>Annotate surgical videos</t>
  </si>
  <si>
    <t>Working Professionals</t>
  </si>
  <si>
    <t>Volunteer</t>
  </si>
  <si>
    <t>34.1.1.2</t>
  </si>
  <si>
    <t>Bo_2021</t>
  </si>
  <si>
    <t>40.1.1.1</t>
  </si>
  <si>
    <t>Toward human intervention-free clinical diagnosis of intracranial aneurysm via deep neural network</t>
  </si>
  <si>
    <t>Bo, ZH; Qiao, H; Tian, C; Guo, YC; Li, WC; Liang, TT; Li, DX; Liao, D; Zeng, XC; Mei, LL; Shi, TL; Wu, B; Huang, C; Liu, L; Jin, C; Guo, QP; Yong, JH; Xu, F; Zhang, TJ; Wang, RP; Dai, QH</t>
  </si>
  <si>
    <t>Patterns</t>
  </si>
  <si>
    <t>Diagnose intracranial aneurysms</t>
  </si>
  <si>
    <t>Specificity</t>
  </si>
  <si>
    <t>Radiologists (attending)</t>
  </si>
  <si>
    <t>40.1.1.2</t>
  </si>
  <si>
    <t>Sensitivity</t>
  </si>
  <si>
    <t>40.1.1.3</t>
  </si>
  <si>
    <t>40.1.2.1</t>
  </si>
  <si>
    <t>Residents (radiology)</t>
  </si>
  <si>
    <t>40.1.2.2</t>
  </si>
  <si>
    <t>40.1.2.3</t>
  </si>
  <si>
    <t>BuÃ§inca_2020</t>
  </si>
  <si>
    <t>41.1.1.1</t>
  </si>
  <si>
    <t>Proxy tasks and subjective measures can be misleading in evaluating explainable ai systems</t>
  </si>
  <si>
    <t>BuÃ§inca, Zana; Lin, Phoebe; Gajos, Krzysztof Z; Glassman, Elena L</t>
  </si>
  <si>
    <t>Proceedings of the 25th international conference on intelligent user interfaces</t>
  </si>
  <si>
    <t>Determine nutritional content</t>
  </si>
  <si>
    <t>41.1.2.1</t>
  </si>
  <si>
    <t>BuÃ§inca_2021</t>
  </si>
  <si>
    <t>42.1.1.1</t>
  </si>
  <si>
    <t>To trust or to think: cognitive forcing functions can reduce overreliance on AI in AI-assisted decision-making</t>
  </si>
  <si>
    <t>BuÃ§inca, Zana; Malaya, Maja Barbara; Gajos, Krzysztof Z</t>
  </si>
  <si>
    <t>HAI = SXAI</t>
  </si>
  <si>
    <t>Carb source detection performance</t>
  </si>
  <si>
    <t>42.1.2.1</t>
  </si>
  <si>
    <t>HAI = CFF</t>
  </si>
  <si>
    <t>Lee_2021</t>
  </si>
  <si>
    <t>44.1.1.1</t>
  </si>
  <si>
    <t>A human-AI collaborative approach for clinical decision making on rehabilitation assessment</t>
  </si>
  <si>
    <t>Lee, Min Hun; Siewiorek, Daniel P; Smailagic, Asim; Bernardino, Alexandre; BermÃºdez i Badia, Sergi</t>
  </si>
  <si>
    <t>Proceedings of the 2021 CHI conference on human factors in computing systems</t>
  </si>
  <si>
    <t>Other</t>
  </si>
  <si>
    <t>Classify patient motions</t>
  </si>
  <si>
    <t>F1-Score</t>
  </si>
  <si>
    <t>Therapists</t>
  </si>
  <si>
    <t>44.1.2.1</t>
  </si>
  <si>
    <t>Kiani_2020</t>
  </si>
  <si>
    <t>48.1.1.1</t>
  </si>
  <si>
    <t>Impact of a deep learning assistant on the histopathologic classification of liver cancer</t>
  </si>
  <si>
    <t>Kiani, Amirhossein; Uyumazturk, Bora; Rajpurkar, Pranav; Wang, Alex; Gao, Rebecca; Jones, Erik; Yu, Yifan; Langlotz, Curtis P; Ball, Robyn L; Montine, Thomas J; others</t>
  </si>
  <si>
    <t>Predict recidivism</t>
  </si>
  <si>
    <t>Followed replication code on Github, which involved excluding a large number of participants, and only considering one condition</t>
  </si>
  <si>
    <t>Zhang_2022</t>
  </si>
  <si>
    <t>49.1.1.1</t>
  </si>
  <si>
    <t>You complete me: Human-AI teams and complementary expertise</t>
  </si>
  <si>
    <t>Zhang, Qiaoning; Lee, Matthew; Carter, Scott</t>
  </si>
  <si>
    <t>Classify liver images</t>
  </si>
  <si>
    <t>HAI = Level 0</t>
  </si>
  <si>
    <t>Bai_2020</t>
  </si>
  <si>
    <t>52.1.1.1</t>
  </si>
  <si>
    <t>Artificial Intelligence Augmentation of Radiologist Performance in Distinguishing COVID-19 from Pneumonia of Other Origin at Chest CT</t>
  </si>
  <si>
    <t>Bai, Harrison X.; Wang, Robin; Xiong, Zeng; Hsieh, Ben; Chang, Ken; Halsey, Kasey; Thi My Linh Tran; Choi, Ji Whae; Wang, Dong-Cui; Shi, Lin-Bo; Mei, Ji; Jiang, Xiao-Long; Pan, Ian; Zeng, Qiu-Hua; Hu, Ping-Feng; Li, Yi-Hui; Fu, Fei-Xian; Huang, Raymond Y.; Sebro, Ronnie; Yu, Qi-Zhi; Atalay, Michael K.; Liao, Wei-Hua</t>
  </si>
  <si>
    <t>Radiology</t>
  </si>
  <si>
    <t>Classify CT images</t>
  </si>
  <si>
    <t>HAI = Delegation</t>
  </si>
  <si>
    <t>52.1.1.2</t>
  </si>
  <si>
    <t>HAI = Inversion</t>
  </si>
  <si>
    <t>52.1.1.3</t>
  </si>
  <si>
    <t>Guermazi_2022</t>
  </si>
  <si>
    <t>53.1.1.1</t>
  </si>
  <si>
    <t>Improving Radiographic Fracture Recognition Performance and Efficiency Using Artificial Intelligence</t>
  </si>
  <si>
    <t>Guermazi, Ali; Tannoury, Chadi; Kompel, Andrew J.; Murakami, Akira M.; Ducarouge, Alexis; Gillibert, Andre; Li, Xinning; Tournier, Antoine; Lahoud, Youmna; Jarraya, Mohamed; Lacave, Elise; Rahimi, Hamza; Pourchot, Alois; Parisien, Robert L.; Merritt, Alexander C.; Comeau, Douglas; Regnard, Nor-Eddine; Hayashi, Daichi</t>
  </si>
  <si>
    <t>Detect fractures</t>
  </si>
  <si>
    <t>Medical Professionals</t>
  </si>
  <si>
    <t>53.1.1.2</t>
  </si>
  <si>
    <t>Lee_2022</t>
  </si>
  <si>
    <t>54.1.1.1</t>
  </si>
  <si>
    <t>Localization-adjusted diagnostic performance and assistance effect of a computer-aided detection system for pneumothorax and consolidation</t>
  </si>
  <si>
    <t>Lee, Sun Yeop; Ha, Sangwoo; Jeon, Min Gyeong; Li, Hao; Choi, Hyunju; Kim, Hwa Pyung; Choi, Ye Ra; Hoseok, I; Jeong, Yeon Joo; Park, Yoon Ha; Ahn, Hyemin; Hong, Sang Hyup; Koo, Hyun Jung; Lee, Choong Wook; Kim, Min Jae; Kim, Yeon Joo; Kim, Kyung Won; Choi, Jong Mun</t>
  </si>
  <si>
    <t>NPJ Digital Medicine</t>
  </si>
  <si>
    <t>Detect consolidation in chest radiographs</t>
  </si>
  <si>
    <t>54.1.1.2</t>
  </si>
  <si>
    <t>54.1.1.4</t>
  </si>
  <si>
    <t>Detect pneumothorax in chest radiographs</t>
  </si>
  <si>
    <t>Maron_2020</t>
  </si>
  <si>
    <t>55.1.1.1</t>
  </si>
  <si>
    <t>Artificial Intelligence and Its Effect on Dermatologists' Accuracy in Dermoscopic Melanoma Image Classification: Web-Based Survey Study</t>
  </si>
  <si>
    <t>Maron, Roman C.; Utikal, Jochen S.; Hekler, Achim; Hauschild, Axel; Sattler, Elke; Sondermann, Wiebke; Haferkamp, Sebastian; Schilling, Bastian; Heppt, Markus, V; Jansen, Philipp; Reinholz, Markus; Franklin, Cindy; Schmitt, Laurenz; Hartmann, Daniela; Krieghoff-Henning, Eva; Schmitt, Max; Weichenthal, Michael; von Kalle, Christof; Frohling, Stefan; Brinker, Titus J.</t>
  </si>
  <si>
    <t>Journal of Medical Internet Research</t>
  </si>
  <si>
    <t>Classify dermoscopic images</t>
  </si>
  <si>
    <t>55.1.1.2</t>
  </si>
  <si>
    <t>55.1.1.3</t>
  </si>
  <si>
    <t>All biopsies</t>
  </si>
  <si>
    <t>Nasir-Moin_2021</t>
  </si>
  <si>
    <t>57.1.1.1</t>
  </si>
  <si>
    <t>Evaluation of an Artificial Intelligence-Augmented Digital System for Histologic Classification of Colorectal Polyps</t>
  </si>
  <si>
    <t>Nasir-Moin, Mustafa; Suriawinata, Arief A.; Ren, Bing; Liu, Xiaoying; Robertson, Douglas J.; Bagchi, Srishti; Tomita, Naofumi; Wei, Jason W.; MacKenzie, Todd A.; Rees, Judy R.; Hassanpour, Saeed</t>
  </si>
  <si>
    <t>JAMA Network Open</t>
  </si>
  <si>
    <t>Classify colorectal polyps</t>
  </si>
  <si>
    <t>TVA/VA</t>
  </si>
  <si>
    <t>Tumor detection</t>
  </si>
  <si>
    <t>57.1.1.2</t>
  </si>
  <si>
    <t>TA</t>
  </si>
  <si>
    <t>57.1.1.3</t>
  </si>
  <si>
    <t>SSP</t>
  </si>
  <si>
    <t>HAI = Multiclass Probabilities, AI = Malignant Groups Summed</t>
  </si>
  <si>
    <t>57.1.1.4</t>
  </si>
  <si>
    <t>HP</t>
  </si>
  <si>
    <t>Nuutinen_2023</t>
  </si>
  <si>
    <t>58.1.1.1</t>
  </si>
  <si>
    <t>Aid of a machine learning algorithm can improve clinician predictions of patient quality of life during breast cancer treatments</t>
  </si>
  <si>
    <t>Nuutinen, Mikko; Hiltunen, Anna-Maria; Korhonen, Sonja; Haavisto, Ira; Poikonen-Saksela, Paula; Mattson, Johanna; Manikis, Georgios; Kondylakis, Haridimos; Simos, Panagiotis; Mazzocco, Ketti; Pat-Horenczyk, Ruth; Sousa, Berta; Cardoso, Fatima; Manica, Isabel; Kudel, Ian; Leskela, Riikka-Leena</t>
  </si>
  <si>
    <t>Health and Technology</t>
  </si>
  <si>
    <t>Predict patient quality of life</t>
  </si>
  <si>
    <t>Oncologists</t>
  </si>
  <si>
    <t>HAI = Malignancy Probabilities, AI = Malignant Groups Summed</t>
  </si>
  <si>
    <t>58.1.1.2</t>
  </si>
  <si>
    <t>58.1.1.3</t>
  </si>
  <si>
    <t>Calculate from data in chart; AI = average of the three models shown</t>
  </si>
  <si>
    <t>58.2.1.1</t>
  </si>
  <si>
    <t>58.2.1.2</t>
  </si>
  <si>
    <t>58.2.1.3</t>
  </si>
  <si>
    <t>Focused on diagnoses across all categories (Fig 4)</t>
  </si>
  <si>
    <t>Double check values in WebPlotDigitizer</t>
  </si>
  <si>
    <t>Rajpurkar_2020</t>
  </si>
  <si>
    <t>60.1.1.1</t>
  </si>
  <si>
    <t>CheXaid: deep learning assistance for physician diagnosis of tuberculosis using chest x-rays in patients with HIV</t>
  </si>
  <si>
    <t>Rajpurkar, Pranav; O'Connell, Chloe; Schechter, Amit; Asnani, Nishit; Li, Jason; Kiani, Amirhossein; Ball, Robyn L.; Mendelson, Marc; Maartens, Gary; van Hoving, Daniel J.; Griesel, Rulan; Ng, Andrew Y.; Boyles, Tom H.; Lungren, Matthew P.</t>
  </si>
  <si>
    <t>Classify chest x-rays</t>
  </si>
  <si>
    <t>Categoric, Image, Numeric</t>
  </si>
  <si>
    <t>Email Lists</t>
  </si>
  <si>
    <t>60.1.1.2</t>
  </si>
  <si>
    <t>All translations</t>
  </si>
  <si>
    <t>60.1.1.3</t>
  </si>
  <si>
    <t>60.1.1.4</t>
  </si>
  <si>
    <t>PPV</t>
  </si>
  <si>
    <t>Worse Quality</t>
  </si>
  <si>
    <t>60.1.1.5</t>
  </si>
  <si>
    <t>NPV</t>
  </si>
  <si>
    <t>Steiner_2020</t>
  </si>
  <si>
    <t>61.1.1.1</t>
  </si>
  <si>
    <t>Evaluation of the Use of Combined Artificial Intelligence and Pathologist Assessment to Review and Grade Prostate Biopsies</t>
  </si>
  <si>
    <t>Steiner, David F.; Nagpal, Kunal; Sayres, Rory; Foote, Davis J.; Wedin, Benjamin D.; Pearce, Adam; Cai, Carrie J.; Winter, Samantha R.; Symonds, Matthew; Yatziv, Liron; Kapishnikov, Andrei; Brown, Trissia; Flament-Auvigne, Isabelle; Tan, Fraser; Stumpe, Martin C.; Jiang, Pan-Pan; Liu, Yun; Chen, Po-Hsuan Cameron; Corrado, Greg S.; Terry, Michael; Mermel, Craig H.</t>
  </si>
  <si>
    <t>Classify prostrate biopsies</t>
  </si>
  <si>
    <t>Agreement with Subspecialists</t>
  </si>
  <si>
    <t>Better Quality</t>
  </si>
  <si>
    <t>61.1.1.2</t>
  </si>
  <si>
    <t>Grade group 1</t>
  </si>
  <si>
    <t>61.1.1.3</t>
  </si>
  <si>
    <t>No UHCI</t>
  </si>
  <si>
    <t>61.1.1.4</t>
  </si>
  <si>
    <t>61.1.1.5</t>
  </si>
  <si>
    <t>Tschandl_2020</t>
  </si>
  <si>
    <t>62.1.2.2</t>
  </si>
  <si>
    <t>Human-computer collaboration for skin cancer recognition</t>
  </si>
  <si>
    <t>Tschandl, Philipp; Rinner, Christoph; Apalla, Zoe; Argenziano, Giuseppe; Codella, Noel; Halpern, Allan; Janda, Monika; Lallas, Aimilios; Longo, Caterina; Malvehy, Josep; Paoli, John; Puig, Susana; Rosendahl, Cliff; Soyer, H. Peter; Zalaudek, Iris; Kittler, Harald</t>
  </si>
  <si>
    <t>Nature Medicine</t>
  </si>
  <si>
    <t>Classify images of skin lesions</t>
  </si>
  <si>
    <t>Physicians, Residents</t>
  </si>
  <si>
    <t>62.1.2.3</t>
  </si>
  <si>
    <t>62.1.3.1</t>
  </si>
  <si>
    <t>62.1.3.2</t>
  </si>
  <si>
    <t>HAI = Learned</t>
  </si>
  <si>
    <t>Jussupow_2021</t>
  </si>
  <si>
    <t>63.1.1.1</t>
  </si>
  <si>
    <t>Augmenting Medical Diagnosis Decisions? An Investigation into Physiciansâ€™ Decision-Making Process with Artificial Intelligence</t>
  </si>
  <si>
    <t>Jussupow, Ekaterina; Spohrer, Kai; Heinzl, Armin; Gawlitza, Joshua</t>
  </si>
  <si>
    <t>Information Systems Research</t>
  </si>
  <si>
    <t>Diagnose chronic obstructive pulmonary disease (COPD)</t>
  </si>
  <si>
    <t>Novices</t>
  </si>
  <si>
    <t>HAI = Random</t>
  </si>
  <si>
    <t>63.1.2.1</t>
  </si>
  <si>
    <t>HAI = Omniscient</t>
  </si>
  <si>
    <t>Zhao_2022</t>
  </si>
  <si>
    <t>64.1.1.1</t>
  </si>
  <si>
    <t>Deep Learning Assisted Diagnosis of Musculoskeletal Tumors Based on Contrast-Enhanced Magnetic Resonance Imaging</t>
  </si>
  <si>
    <t>Zhao, Keyang; Zhang, Mingzi; Xie, Zhaozhi; Yan, Xu; Wu, Shenghui; Liao, Peng; Lu, Hongtao; Shen, Wei; Fu, Chicheng; Cui, Haoyang; Fang, Qu; Mei, Jiong</t>
  </si>
  <si>
    <t>Journal of Magnetic Resonance Imaging</t>
  </si>
  <si>
    <t>Diagnose malignant musculoskeletal tumors</t>
  </si>
  <si>
    <t>HAI = Update</t>
  </si>
  <si>
    <t>64.1.1.2</t>
  </si>
  <si>
    <t>64.1.1.3</t>
  </si>
  <si>
    <t>Zhu_2022</t>
  </si>
  <si>
    <t>65.1.1.1</t>
  </si>
  <si>
    <t>Two-step artificial intelligence system for endoscopic gastric biopsy improves the diagnostic accuracy of pathologists</t>
  </si>
  <si>
    <t>Zhu, Yan; Yuan, Wei; Xie, Chun-Mei; Xu, Wei; Wang, Jia-Ping; Feng, Li; Wu, Hui-Li; Lu, Pin-Xiang; Geng, Zi-Han; Lv, Chuan-Feng; Li, Quan-Lin; Hou, Ying-Yong; Chen, Wei-Feng; Zhou, Ping-Hong</t>
  </si>
  <si>
    <t>Frontiers in Oncology</t>
  </si>
  <si>
    <t>Diagnose gastric cancer</t>
  </si>
  <si>
    <t>65.1.1.2</t>
  </si>
  <si>
    <t>Time (Minutes)</t>
  </si>
  <si>
    <t>Time</t>
  </si>
  <si>
    <t>68.1.1.1</t>
  </si>
  <si>
    <t>Classify blood vessels</t>
  </si>
  <si>
    <t>Concurrent, AI, HAI = B, Noise = 110</t>
  </si>
  <si>
    <t>Winkel_2021</t>
  </si>
  <si>
    <t>77.1.1.1</t>
  </si>
  <si>
    <t>Impact of artificial intelligence support on accuracy and reading time in breast tomosynthesis image interpretation: a multi-reader multi-case study</t>
  </si>
  <si>
    <t>Winkel, Suzanne L. van; RodrÃ­guez-Ruiz, Alejandro; Appelman, Linda; Gubern-MÃ©rida, Albert; Karssemeijer, Nico; Teuwen, Jonas; Wanders, Alexander J. T.; Sechopoulos, Ioannis; Mann, Ritse M.</t>
  </si>
  <si>
    <t>European Radiology</t>
  </si>
  <si>
    <t>Screen mammography images</t>
  </si>
  <si>
    <t>All radiologists</t>
  </si>
  <si>
    <t>AUC</t>
  </si>
  <si>
    <t>https://osf.io/bjgu9/</t>
  </si>
  <si>
    <t>Sun_2021</t>
  </si>
  <si>
    <t>78.1.1.1</t>
  </si>
  <si>
    <t>Deep learning model improves radiologistsâ€™ performance in detection and classification of breast lesions</t>
  </si>
  <si>
    <t>Sun, Yingshi; Qu, Yuhong; Wang, Dong; Li, Yi; Lin, Ye; Du, Jing; Xu, Bin; Li, Baojian; Li, Xiao-Ting; Zhang, Kexin; Shi, Yanjie; Sun, Rui-Jia; Wang, Yichuan; Long, Rong; Chen, De-Yue; Li, Haijin; Wang, Liwei; Cao, Min; Yin, Yanxin; Xing, L.; Zhang, Jie; Cheng, Ming; Liang, Jie; Yang, Guijuan; Zhu, Juan</t>
  </si>
  <si>
    <t>Chinese Journal of Cancer Research</t>
  </si>
  <si>
    <t>Binary, Image</t>
  </si>
  <si>
    <t>Include all trials, all participants</t>
  </si>
  <si>
    <t>78.1.1.2</t>
  </si>
  <si>
    <t>78.1.1.3</t>
  </si>
  <si>
    <t>Liang_2022</t>
  </si>
  <si>
    <t>Adapting to the algorithm: how accuracy comparisons promote the use of a decision aid</t>
  </si>
  <si>
    <t>Liang, Garston; Sloane, Jennifer F.; Donkin, Chris; Newell, Ben R.</t>
  </si>
  <si>
    <t>Cognitive Research: Principles and Implications</t>
  </si>
  <si>
    <t>Categorize mammography images</t>
  </si>
  <si>
    <t>Experiment 1a</t>
  </si>
  <si>
    <t>Students</t>
  </si>
  <si>
    <t>University</t>
  </si>
  <si>
    <t>Perform dot motion judgement</t>
  </si>
  <si>
    <t>Experiment 1b</t>
  </si>
  <si>
    <t>Calisto_2022</t>
  </si>
  <si>
    <t>80.1.1.1</t>
  </si>
  <si>
    <t>BreastScreening-AI: Evaluating medical intelligent agents for human-AI interactions</t>
  </si>
  <si>
    <t>Calisto, Francisco Maria; Santiago, Carlos; Nunes, Nuno; Nascimento, Jacinto C.</t>
  </si>
  <si>
    <t>Diagnose breast images</t>
  </si>
  <si>
    <t>All physicians</t>
  </si>
  <si>
    <t>80.1.1.2</t>
  </si>
  <si>
    <t>Shin_2021</t>
  </si>
  <si>
    <t>39.1.1.1</t>
  </si>
  <si>
    <t>AI-assistance for predictive maintenance of renewable energy systems</t>
  </si>
  <si>
    <t>Shin, W; Han, J; Rhee, W</t>
  </si>
  <si>
    <t>Energy</t>
  </si>
  <si>
    <t>Classify endoscopic images</t>
  </si>
  <si>
    <t>Engineers (generalist)</t>
  </si>
  <si>
    <t>39.1.1.2</t>
  </si>
  <si>
    <t>39.2.1.1</t>
  </si>
  <si>
    <t>Engineers (specialist)</t>
  </si>
  <si>
    <t>39.2.1.2</t>
  </si>
  <si>
    <t>Alufaisan_2021</t>
  </si>
  <si>
    <t>49.1.2.1</t>
  </si>
  <si>
    <t>Does explainable artificial intelligence improve human decision-making?</t>
  </si>
  <si>
    <t>Alufaisan, Yasmeen; Marusich, Laura R; Bakdash, Jonathan Z; Zhou, Yan; Kantarcioglu, Murat</t>
  </si>
  <si>
    <t>Public sector</t>
  </si>
  <si>
    <t>HAI = Level 1</t>
  </si>
  <si>
    <t>49.2.1.1</t>
  </si>
  <si>
    <t>HAI = Level 2</t>
  </si>
  <si>
    <t>49.2.2.1</t>
  </si>
  <si>
    <t>HAI = Level 3</t>
  </si>
  <si>
    <t>Based on binomial model for AI condition</t>
  </si>
  <si>
    <t>Libby_Witz_2024</t>
  </si>
  <si>
    <t>Libby_Witz_2024_1</t>
  </si>
  <si>
    <t>Can Artificial Intelligence Reduce the Effect of Independence Conflicts on Audit Firm Liability?</t>
  </si>
  <si>
    <t>Robert Libby, Christina M. Witz</t>
  </si>
  <si>
    <t>Contemporary Accounting Research</t>
  </si>
  <si>
    <t xml:space="preserve">Between-subjects </t>
  </si>
  <si>
    <t>Assessing audit firm negligence based on analytical procedures conducted by human vs AI</t>
  </si>
  <si>
    <t>Performance measured as inverse of perceived negligence probability (lower = better)</t>
  </si>
  <si>
    <t>AI reduced perceived liability compared to human auditors</t>
  </si>
  <si>
    <t>9.1.1.1</t>
  </si>
  <si>
    <t>Predict pre-trial violations</t>
  </si>
  <si>
    <t>ICPSR, IND, H = None/None, HAI = Static/Static</t>
  </si>
  <si>
    <t>9.1.2.1</t>
  </si>
  <si>
    <t>ICPSR, IND, H = None/None, HAI = Inter/Inter</t>
  </si>
  <si>
    <t>9.1.3.1</t>
  </si>
  <si>
    <t>ICPSR, OOD, H = None/None, HAI = Static/Static</t>
  </si>
  <si>
    <t>9.1.4.1</t>
  </si>
  <si>
    <t>ICPSR, OOD, H = None/None, HAI = Inter/Inter</t>
  </si>
  <si>
    <t>9.3.1.1</t>
  </si>
  <si>
    <t>9.3.2.1</t>
  </si>
  <si>
    <t>9.3.3.1</t>
  </si>
  <si>
    <t>9.3.4.1</t>
  </si>
  <si>
    <t>Rastogi_2022</t>
  </si>
  <si>
    <t>12.1.1.1</t>
  </si>
  <si>
    <t>Deciding Fast and Slow: The Role of Cognitive Biases in AI-Assisted Decision-Making</t>
  </si>
  <si>
    <t>Rastogi, Charvi; Zhang, Yunfeng; Wei, Dennis; Varshney, Kush R.; Dhurandhar, Amit; Tomsett, Richard</t>
  </si>
  <si>
    <t>Predict student performance</t>
  </si>
  <si>
    <t>HAI = Human+AI</t>
  </si>
  <si>
    <t>12.1.2.1</t>
  </si>
  <si>
    <t>HAI = Human+AI+HMM</t>
  </si>
  <si>
    <t>12.1.3.1</t>
  </si>
  <si>
    <t>HAI = Human+AI+SMM</t>
  </si>
  <si>
    <t>12.1.4.1</t>
  </si>
  <si>
    <t>HAI = Quick Sort HMM</t>
  </si>
  <si>
    <t>Ibrahim_2023</t>
  </si>
  <si>
    <t>17.1.1.1</t>
  </si>
  <si>
    <t>Do Explanations Improve the Quality of AI-Assisted Human Decisions? An Algorithm-in-the-Loop Analysis of Factual &amp; Counterfactual Explanations</t>
  </si>
  <si>
    <t>Ibrahim, Lujain; Ghassemi, Mohammad M.; Alhanai, Tuka</t>
  </si>
  <si>
    <t>Proceedings of the 2023 International Conference on Autonomous Agents and Multiagent Systems</t>
  </si>
  <si>
    <t>HAI = RA Only</t>
  </si>
  <si>
    <t>Brier Score</t>
  </si>
  <si>
    <t>HAI = Selective Feature Attr.</t>
  </si>
  <si>
    <t>17.1.2.1</t>
  </si>
  <si>
    <t>HAI = Diverse Counterfactual</t>
  </si>
  <si>
    <t>Results here represent untransformed data (slightly different from original paper)</t>
  </si>
  <si>
    <t>17.1.3.1</t>
  </si>
  <si>
    <t>17.1.4.1</t>
  </si>
  <si>
    <t>HAI = Treatment 2</t>
  </si>
  <si>
    <t>17.1.5.1</t>
  </si>
  <si>
    <t>Green_2021</t>
  </si>
  <si>
    <t>30.1.1.1</t>
  </si>
  <si>
    <t>Algorithmic risk assessments can alter human decision-making processes in high-stakes government contexts</t>
  </si>
  <si>
    <t>Green, Ben; Chen, Yiling</t>
  </si>
  <si>
    <t>Proc. ACM Hum.-Comput. Interact. 5, CSCW2</t>
  </si>
  <si>
    <t>Discete</t>
  </si>
  <si>
    <t>30.2.1.1</t>
  </si>
  <si>
    <t>Predict loan defaults</t>
  </si>
  <si>
    <t>Fogliato_2021</t>
  </si>
  <si>
    <t>47.1.1.1</t>
  </si>
  <si>
    <t>The impact of algorithmic risk assessments on human predictions and its analysis via crowdsourcing studies</t>
  </si>
  <si>
    <t>Fogliato, Riccardo; Chouldechova, Alexandra; Lipton, Zachary</t>
  </si>
  <si>
    <t>47.1.1.2</t>
  </si>
  <si>
    <t>47.1.1.3</t>
  </si>
  <si>
    <t>47.1.1.4</t>
  </si>
  <si>
    <t>Noti_2023</t>
  </si>
  <si>
    <t>70.1.1.1</t>
  </si>
  <si>
    <t>Learning When to Advise Human Decision Makers</t>
  </si>
  <si>
    <t>Noti, Gali; Chen, Yiling</t>
  </si>
  <si>
    <t>Proceedings of IJCAI 2023</t>
  </si>
  <si>
    <t>Categoric, Numeric, Text</t>
  </si>
  <si>
    <t>Linear Score</t>
  </si>
  <si>
    <t>Concurrent, AI, HAI = C, Noise = 80</t>
  </si>
  <si>
    <t>70.1.1.2</t>
  </si>
  <si>
    <t>Quadratic Score</t>
  </si>
  <si>
    <t>Concurrent, AI, HAI = C, Noise = 95</t>
  </si>
  <si>
    <t>70.1.2.1</t>
  </si>
  <si>
    <t>Concurrent, AI, HAI = C, Noise = 110</t>
  </si>
  <si>
    <t>70.1.2.2</t>
  </si>
  <si>
    <t>Concurrent, AI, HAI = C, Noise = 125</t>
  </si>
  <si>
    <t>70.1.3.1</t>
  </si>
  <si>
    <t>Concurrent, AI, HAI = C, Noise = 140</t>
  </si>
  <si>
    <t>70.1.3.2</t>
  </si>
  <si>
    <t>Concurrent, AI, HAI = C, Noise = 155</t>
  </si>
  <si>
    <t>70.1.4.1</t>
  </si>
  <si>
    <t>Concurrent, AI, HAI = C, Noise = 170</t>
  </si>
  <si>
    <t>70.1.4.2</t>
  </si>
  <si>
    <t>Sequential, AI, HAI = A, Noise = 0</t>
  </si>
  <si>
    <t>Boskemper_2021</t>
  </si>
  <si>
    <t>76.1.1.1</t>
  </si>
  <si>
    <t>Measuring the Efficiency of Automation-Aided Performance in a Simulated Baggage Screening Task</t>
  </si>
  <si>
    <t>Boskemper, Melanie M.; Bartlett, Megan L.; McCarley, Jason S.</t>
  </si>
  <si>
    <t>Human Factors: The Journal of Human Factors and Ergonomics Society</t>
  </si>
  <si>
    <t>Screen x-rays of baggages</t>
  </si>
  <si>
    <t>Experiment 1</t>
  </si>
  <si>
    <t>Obtained stddevs for HAI condition from author</t>
  </si>
  <si>
    <t>76.2.1.1</t>
  </si>
  <si>
    <t>Experiment 2</t>
  </si>
  <si>
    <t>76.3.1.1</t>
  </si>
  <si>
    <t>Experiment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</si>
</sst>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h Vu Ngo" refreshedDate="45739.58269166667" createdVersion="6" refreshedVersion="6" minRefreshableVersion="3" recordCount="133" xr:uid="{00000000-000A-0000-FFFF-FFFF03000000}">
  <cacheSource type="worksheet">
    <worksheetSource ref="A1:BN1048576" sheet="Data_Extraction_communication"/>
  </cacheSource>
  <cacheFields count="65">
    <cacheField name="Paper_Name" numFmtId="0">
      <sharedItems containsBlank="1" count="28">
        <s v="Poursabzi-Sangdeh_2021"/>
        <s v="Bansal_2021"/>
        <s v="Kyriacou_2021"/>
        <s v="Liu_2021"/>
        <s v="Ma_2023"/>
        <s v="Lehmann_2022"/>
        <s v="Skirzynski_2021"/>
        <s v="Hemmer_2022"/>
        <s v="Chen_2023"/>
        <s v="Elder_2022"/>
        <s v="Bondi_2022"/>
        <s v="Lu_Peng_2024"/>
        <s v="Carton_2020"/>
        <s v="Lai_2020"/>
        <s v="Jiang_2020"/>
        <s v="Gao_2021"/>
        <s v="Lai_2022b"/>
        <s v="Cabrera_2023"/>
        <s v="Schemmer_2023"/>
        <s v="Papenmeier_2022"/>
        <s v="Lai_2022"/>
        <s v="Przybyla_2021"/>
        <s v="Groh_2022"/>
        <s v="Desmond_2021"/>
        <s v="Lu_2022"/>
        <s v="Lippert_2024"/>
        <s v="Vodrahalli_2022"/>
        <m/>
      </sharedItems>
    </cacheField>
    <cacheField name="Paper_ID" numFmtId="0">
      <sharedItems containsString="0" containsBlank="1" containsNumber="1" containsInteger="1" minValue="1" maxValue="84"/>
    </cacheField>
    <cacheField name="Exp_ID" numFmtId="0">
      <sharedItems containsString="0" containsBlank="1" containsNumber="1" containsInteger="1" minValue="1" maxValue="5"/>
    </cacheField>
    <cacheField name="Treatment_ID" numFmtId="0">
      <sharedItems containsString="0" containsBlank="1" containsNumber="1" containsInteger="1" minValue="1" maxValue="9"/>
    </cacheField>
    <cacheField name="Measure_ID" numFmtId="0">
      <sharedItems containsString="0" containsBlank="1" containsNumber="1" containsInteger="1" minValue="1" maxValue="3"/>
    </cacheField>
    <cacheField name="Exp_ID_Cleaned" numFmtId="0">
      <sharedItems containsString="0" containsBlank="1" containsNumber="1" minValue="1.1000000000000001" maxValue="75.2"/>
    </cacheField>
    <cacheField name="ES_ID" numFmtId="0">
      <sharedItems containsBlank="1"/>
    </cacheField>
    <cacheField name="Title" numFmtId="0">
      <sharedItems containsBlank="1" count="28">
        <s v="Manipulating and Measuring Model Interpretability"/>
        <s v="Does the Whole Exceed Its Parts? The Effect of AI Explanations on Complementary Team Performance"/>
        <s v="Learning to Work in a Materials Recovery Facility: Can Humans and Machines Learn from Each Other?"/>
        <s v="Understanding the Effect of Out-of-Distribution Examples and Interactive Explanations on Human-AI Decision Making"/>
        <s v="Who Should I Trust: AI or Myself? Leveraging Human and AI Correctness Likelihood to Promote Appropriate Trust in AI-Assisted Decision-Making"/>
        <s v="The risk of algorithm transparency: How algorithm complexity drives the effects on the use of advice"/>
        <s v="Automatic discovery of interpretable planning strategies"/>
        <s v="On the effect of information asymmetry in human-AI teams"/>
        <s v="Understanding the role of human intuition on reliance in human-AI decision-making with explanations"/>
        <s v="Knowing when to pass: The effect of AI reliability in risky decision contexts"/>
        <s v="Role of human-AI interaction in selective prediction"/>
        <s v="Human-AI Collaboration: Unraveling the Effects of User Proficiency and AI Agent Capability in Intelligent Decision Support Systems"/>
        <s v="Feature-based explanations don't help people detect misclassifications of online toxicity"/>
        <s v="&quot;Why is 'Chicago' Deceptive?&quot; Towards Building Model-Driven Tutorials for Humans"/>
        <s v="Response Quality in Human-Chatbot Collaborative Systems"/>
        <s v="Evaluating Human-AI Hybrid Conversational Systems with Chatbot Message Suggestions"/>
        <s v="Human-AI Collaboration via Conditional Delegation: A Case Study of Content Moderation"/>
        <s v="Improving Human-AI Collaboration with Descriptions of AI Behavior"/>
        <s v="Appropriate Reliance on AI Advice: Conceptualization and the Effect of Explanations"/>
        <s v="Itâ€™s Complicated: The Relationship between User Trust, Model Accuracy and Explanations in AI"/>
        <s v="An Exploration of Post-Editing Effectiveness in Text Summarization"/>
        <s v="When classification accuracy is not enough: Explaining news credibility assessment"/>
        <s v="Deepfake detection by human crowds, machines, and machine-informed crowds"/>
        <s v="Increasing the Speed and Accuracy of Data Labeling Through an AI Assisted Interface"/>
        <s v="The Effects of AI-based Credibility Indicators on the Detection and Spread of Misinformation under Social Influence"/>
        <s v="Can Large Language Models Help Predict Results from a Complex Behavioural Science Study?"/>
        <s v="Do humans trust advice more if it comes from AI? An analysis of human-AI interactions"/>
        <m/>
      </sharedItems>
    </cacheField>
    <cacheField name="Authors" numFmtId="0">
      <sharedItems containsBlank="1"/>
    </cacheField>
    <cacheField name="Year" numFmtId="0">
      <sharedItems containsString="0" containsBlank="1" containsNumber="1" containsInteger="1" minValue="2020" maxValue="2024"/>
    </cacheField>
    <cacheField name="Industry" numFmtId="0">
      <sharedItems containsBlank="1"/>
    </cacheField>
    <cacheField name="Venue" numFmtId="0">
      <sharedItems containsBlank="1"/>
    </cacheField>
    <cacheField name="Exp_Design" numFmtId="0">
      <sharedItems containsBlank="1"/>
    </cacheField>
    <cacheField name="Comp_Type" numFmtId="0">
      <sharedItems containsBlank="1"/>
    </cacheField>
    <cacheField name="Task_Desc" numFmtId="0">
      <sharedItems containsBlank="1"/>
    </cacheField>
    <cacheField name="Task_Data" numFmtId="0">
      <sharedItems containsBlank="1"/>
    </cacheField>
    <cacheField name="Task_Data_Cleaned" numFmtId="0">
      <sharedItems containsBlank="1"/>
    </cacheField>
    <cacheField name="Task_Data_IsCategoric" numFmtId="0">
      <sharedItems containsBlank="1"/>
    </cacheField>
    <cacheField name="Task_Data_IsCode" numFmtId="0">
      <sharedItems containsBlank="1"/>
    </cacheField>
    <cacheField name="Task_Data_IsImage" numFmtId="0">
      <sharedItems containsBlank="1"/>
    </cacheField>
    <cacheField name="Task_Data_IsNumeric" numFmtId="0">
      <sharedItems containsBlank="1"/>
    </cacheField>
    <cacheField name="Task_Data_IsText" numFmtId="0">
      <sharedItems containsBlank="1"/>
    </cacheField>
    <cacheField name="Task_Data_IsVideo" numFmtId="0">
      <sharedItems containsBlank="1"/>
    </cacheField>
    <cacheField name="Task_Output" numFmtId="0">
      <sharedItems containsBlank="1"/>
    </cacheField>
    <cacheField name="Task_Output_Cleaned" numFmtId="0">
      <sharedItems containsBlank="1"/>
    </cacheField>
    <cacheField name="Task_Type" numFmtId="0">
      <sharedItems containsBlank="1"/>
    </cacheField>
    <cacheField name="AI_Type" numFmtId="0">
      <sharedItems containsBlank="1"/>
    </cacheField>
    <cacheField name="AI_Data_In" numFmtId="0">
      <sharedItems containsBlank="1"/>
    </cacheField>
    <cacheField name="AI_Data_Out" numFmtId="0">
      <sharedItems containsBlank="1"/>
    </cacheField>
    <cacheField name="AI_Type_Cleaned" numFmtId="0">
      <sharedItems containsBlank="1"/>
    </cacheField>
    <cacheField name="Final_Decision" numFmtId="0">
      <sharedItems containsBlank="1"/>
    </cacheField>
    <cacheField name="Division_Labor" numFmtId="0">
      <sharedItems containsBlank="1"/>
    </cacheField>
    <cacheField name="Condition_Name" numFmtId="0">
      <sharedItems containsBlank="1"/>
    </cacheField>
    <cacheField name="AI_Expl_Incl" numFmtId="0">
      <sharedItems containsBlank="1"/>
    </cacheField>
    <cacheField name="AI_Conf_Incl" numFmtId="0">
      <sharedItems containsBlank="1"/>
    </cacheField>
    <cacheField name="AI_Expl_Type" numFmtId="0">
      <sharedItems containsBlank="1"/>
    </cacheField>
    <cacheField name="Perf_Metric" numFmtId="0">
      <sharedItems containsBlank="1"/>
    </cacheField>
    <cacheField name="Perf_Metric_Cleaned" numFmtId="0">
      <sharedItems containsBlank="1"/>
    </cacheField>
    <cacheField name="Perf_Dir" numFmtId="0">
      <sharedItems containsBlank="1"/>
    </cacheField>
    <cacheField name="N_Exp" numFmtId="0">
      <sharedItems containsString="0" containsBlank="1" containsNumber="1" containsInteger="1" minValue="1" maxValue="1675"/>
    </cacheField>
    <cacheField name="N_Human" numFmtId="0">
      <sharedItems containsString="0" containsBlank="1" containsNumber="1" containsInteger="1" minValue="12" maxValue="1675"/>
    </cacheField>
    <cacheField name="N_HumanAI" numFmtId="0">
      <sharedItems containsString="0" containsBlank="1" containsNumber="1" containsInteger="1" minValue="12" maxValue="1675"/>
    </cacheField>
    <cacheField name="Participant_Type" numFmtId="0">
      <sharedItems containsBlank="1"/>
    </cacheField>
    <cacheField name="Participant_Type_2" numFmtId="0">
      <sharedItems containsBlank="1"/>
    </cacheField>
    <cacheField name="Participant_Source" numFmtId="0">
      <sharedItems containsBlank="1"/>
    </cacheField>
    <cacheField name="Participant_Expert" numFmtId="0">
      <sharedItems containsBlank="1"/>
    </cacheField>
    <cacheField name="Participant_Crowdworker" numFmtId="0">
      <sharedItems containsBlank="1"/>
    </cacheField>
    <cacheField name="Avg_Perf_Human" numFmtId="0">
      <sharedItems containsString="0" containsBlank="1" containsNumber="1" minValue="-0.08" maxValue="330555"/>
    </cacheField>
    <cacheField name="Avg_Perf_AI" numFmtId="0">
      <sharedItems containsString="0" containsBlank="1" containsNumber="1" minValue="0.04" maxValue="180000"/>
    </cacheField>
    <cacheField name="Avg_Perf_HumanAI" numFmtId="0">
      <sharedItems containsString="0" containsBlank="1" containsNumber="1" minValue="0.11600000000000001" maxValue="248016"/>
    </cacheField>
    <cacheField name="Avg_Perf_Human_Adj" numFmtId="0">
      <sharedItems containsString="0" containsBlank="1" containsNumber="1" minValue="-330555" maxValue="60.08"/>
    </cacheField>
    <cacheField name="Avg_Perf_AI_Adj" numFmtId="0">
      <sharedItems containsString="0" containsBlank="1" containsNumber="1" minValue="-180000" maxValue="100"/>
    </cacheField>
    <cacheField name="Avg_Perf_HumanAI_Adj" numFmtId="0">
      <sharedItems containsString="0" containsBlank="1" containsNumber="1" minValue="-248016" maxValue="89.67"/>
    </cacheField>
    <cacheField name="Baseline" numFmtId="0">
      <sharedItems containsBlank="1"/>
    </cacheField>
    <cacheField name="Avg_Perf_Baseline_Adj" numFmtId="0">
      <sharedItems containsString="0" containsBlank="1" containsNumber="1" minValue="-180000" maxValue="100"/>
    </cacheField>
    <cacheField name="Avg_Perf_Worse_Adj" numFmtId="0">
      <sharedItems containsString="0" containsBlank="1" containsNumber="1" minValue="-330555" maxValue="60.08"/>
    </cacheField>
    <cacheField name="Synergy" numFmtId="0">
      <sharedItems containsString="0" containsBlank="1" containsNumber="1" containsInteger="1" minValue="0" maxValue="1"/>
    </cacheField>
    <cacheField name="Sd_Perf_Human" numFmtId="0">
      <sharedItems containsString="0" containsBlank="1" containsNumber="1" minValue="6.88E-2" maxValue="122515"/>
    </cacheField>
    <cacheField name="Sd_Perf_AI" numFmtId="0">
      <sharedItems containsString="0" containsBlank="1" containsNumber="1" minValue="0" maxValue="1.3"/>
    </cacheField>
    <cacheField name="Sd_Perf_HumanAI" numFmtId="0">
      <sharedItems containsString="0" containsBlank="1" containsNumber="1" minValue="2.4976704999999998E-2" maxValue="82411"/>
    </cacheField>
    <cacheField name="Sd_Perf_Baseline" numFmtId="0">
      <sharedItems containsString="0" containsBlank="1" containsNumber="1" minValue="0" maxValue="1.5"/>
    </cacheField>
    <cacheField name="Sd_Perf_Worse" numFmtId="0">
      <sharedItems containsString="0" containsBlank="1" containsNumber="1" minValue="0" maxValue="122515"/>
    </cacheField>
    <cacheField name="Est_ES" numFmtId="0">
      <sharedItems containsBlank="1"/>
    </cacheField>
    <cacheField name="Notes" numFmtId="0">
      <sharedItems containsBlank="1"/>
    </cacheField>
    <cacheField name="Notes_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3">
  <r>
    <x v="0"/>
    <n v="5"/>
    <n v="1"/>
    <n v="1"/>
    <n v="1"/>
    <n v="5.0999999999999996"/>
    <s v="5.1.1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Between-Subjects"/>
    <s v="In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BB-2"/>
    <s v="No"/>
    <s v="No"/>
    <m/>
    <s v="Prediction Error"/>
    <s v="Error"/>
    <s v="Down"/>
    <n v="1250"/>
    <n v="252"/>
    <n v="247"/>
    <s v="Crowdworkers"/>
    <s v="Crowdworkers"/>
    <s v="MTurk"/>
    <s v="No"/>
    <s v="Yes"/>
    <n v="330555"/>
    <n v="180000"/>
    <n v="232267"/>
    <n v="-330555"/>
    <n v="-180000"/>
    <n v="-232267"/>
    <s v="AI"/>
    <n v="-180000"/>
    <n v="-330555"/>
    <n v="0"/>
    <n v="122515"/>
    <n v="0"/>
    <n v="56580"/>
    <n v="0"/>
    <n v="122515"/>
    <s v="No"/>
    <s v="HAI = BB-2"/>
    <m/>
  </r>
  <r>
    <x v="0"/>
    <n v="5"/>
    <n v="1"/>
    <n v="2"/>
    <n v="1"/>
    <n v="5.0999999999999996"/>
    <s v="5.1.2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Between-Subjects"/>
    <s v="In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BB-8"/>
    <s v="No"/>
    <s v="No"/>
    <m/>
    <s v="Prediction Error"/>
    <s v="Error"/>
    <s v="Down"/>
    <n v="1250"/>
    <n v="252"/>
    <n v="256"/>
    <s v="Crowdworkers"/>
    <s v="Crowdworkers"/>
    <s v="MTurk"/>
    <s v="No"/>
    <s v="Yes"/>
    <n v="330555"/>
    <n v="180000"/>
    <n v="234453"/>
    <n v="-330555"/>
    <n v="-180000"/>
    <n v="-234453"/>
    <s v="AI"/>
    <n v="-180000"/>
    <n v="-330555"/>
    <n v="0"/>
    <n v="122515"/>
    <n v="0"/>
    <n v="77178"/>
    <n v="0"/>
    <n v="122515"/>
    <s v="No"/>
    <s v="HAI = BB-8"/>
    <m/>
  </r>
  <r>
    <x v="0"/>
    <n v="5"/>
    <n v="1"/>
    <n v="3"/>
    <n v="1"/>
    <n v="5.0999999999999996"/>
    <s v="5.1.3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Between-Subjects"/>
    <s v="In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CLEAR-2"/>
    <s v="Yes"/>
    <s v="No"/>
    <s v="Image, Numeric"/>
    <s v="Prediction Error"/>
    <s v="Error"/>
    <s v="Down"/>
    <n v="1250"/>
    <n v="252"/>
    <n v="248"/>
    <s v="Crowdworkers"/>
    <s v="Crowdworkers"/>
    <s v="MTurk"/>
    <s v="No"/>
    <s v="Yes"/>
    <n v="330555"/>
    <n v="180000"/>
    <n v="232943"/>
    <n v="-330555"/>
    <n v="-180000"/>
    <n v="-232943"/>
    <s v="AI"/>
    <n v="-180000"/>
    <n v="-330555"/>
    <n v="0"/>
    <n v="122515"/>
    <n v="0"/>
    <n v="81889"/>
    <n v="0"/>
    <n v="122515"/>
    <s v="No"/>
    <s v="HAI = CLEAR-2"/>
    <m/>
  </r>
  <r>
    <x v="0"/>
    <n v="5"/>
    <n v="1"/>
    <n v="4"/>
    <n v="1"/>
    <n v="5.0999999999999996"/>
    <s v="5.1.4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Between-Subjects"/>
    <s v="In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CLEAR-8"/>
    <s v="Yes"/>
    <s v="No"/>
    <s v="Image, Numeric"/>
    <s v="Prediction Error"/>
    <s v="Error"/>
    <s v="Down"/>
    <n v="1250"/>
    <n v="252"/>
    <n v="247"/>
    <s v="Crowdworkers"/>
    <s v="Crowdworkers"/>
    <s v="MTurk"/>
    <s v="No"/>
    <s v="Yes"/>
    <n v="330555"/>
    <n v="180000"/>
    <n v="248016"/>
    <n v="-330555"/>
    <n v="-180000"/>
    <n v="-248016"/>
    <s v="AI"/>
    <n v="-180000"/>
    <n v="-330555"/>
    <n v="0"/>
    <n v="122515"/>
    <n v="0"/>
    <n v="82411"/>
    <n v="0"/>
    <n v="122515"/>
    <s v="No"/>
    <s v="HAI = CLEAR-8"/>
    <m/>
  </r>
  <r>
    <x v="0"/>
    <n v="5"/>
    <n v="2"/>
    <n v="1"/>
    <n v="1"/>
    <n v="5.2"/>
    <s v="5.2.1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Between-Subjects"/>
    <s v="In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BB-2"/>
    <s v="No"/>
    <s v="No"/>
    <m/>
    <s v="Prediction Error"/>
    <s v="Error"/>
    <s v="Down"/>
    <n v="750"/>
    <n v="152"/>
    <n v="147"/>
    <s v="Crowdworkers"/>
    <s v="Crowdworkers"/>
    <s v="MTurk"/>
    <s v="No"/>
    <s v="Yes"/>
    <n v="31145"/>
    <n v="18000"/>
    <n v="22864"/>
    <n v="-31145"/>
    <n v="-18000"/>
    <n v="-22864"/>
    <s v="AI"/>
    <n v="-18000"/>
    <n v="-31145"/>
    <n v="0"/>
    <n v="11303"/>
    <n v="0"/>
    <n v="5927"/>
    <n v="0"/>
    <n v="11303"/>
    <s v="No"/>
    <s v="HAI = BB-2"/>
    <m/>
  </r>
  <r>
    <x v="0"/>
    <n v="5"/>
    <n v="2"/>
    <n v="2"/>
    <n v="1"/>
    <n v="5.2"/>
    <s v="5.2.2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Between-Subjects"/>
    <s v="In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BB-8"/>
    <s v="No"/>
    <s v="No"/>
    <m/>
    <s v="Prediction Error"/>
    <s v="Error"/>
    <s v="Down"/>
    <n v="750"/>
    <n v="152"/>
    <n v="151"/>
    <s v="Crowdworkers"/>
    <s v="Crowdworkers"/>
    <s v="MTurk"/>
    <s v="No"/>
    <s v="Yes"/>
    <n v="31145"/>
    <n v="18000"/>
    <n v="23053"/>
    <n v="-31145"/>
    <n v="-18000"/>
    <n v="-23053"/>
    <s v="AI"/>
    <n v="-18000"/>
    <n v="-31145"/>
    <n v="0"/>
    <n v="11303"/>
    <n v="0"/>
    <n v="6341"/>
    <n v="0"/>
    <n v="11303"/>
    <s v="No"/>
    <s v="HAI = BB-8"/>
    <m/>
  </r>
  <r>
    <x v="0"/>
    <n v="5"/>
    <n v="2"/>
    <n v="3"/>
    <n v="1"/>
    <n v="5.2"/>
    <s v="5.2.3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Between-Subjects"/>
    <s v="In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CLEAR-2"/>
    <s v="Yes"/>
    <s v="No"/>
    <s v="Image, Numeric"/>
    <s v="Prediction Error"/>
    <s v="Error"/>
    <s v="Down"/>
    <n v="750"/>
    <n v="152"/>
    <n v="150"/>
    <s v="Crowdworkers"/>
    <s v="Crowdworkers"/>
    <s v="MTurk"/>
    <s v="No"/>
    <s v="Yes"/>
    <n v="31145"/>
    <n v="18000"/>
    <n v="21760"/>
    <n v="-31145"/>
    <n v="-18000"/>
    <n v="-21760"/>
    <s v="AI"/>
    <n v="-18000"/>
    <n v="-31145"/>
    <n v="0"/>
    <n v="11303"/>
    <n v="0"/>
    <n v="6597"/>
    <n v="0"/>
    <n v="11303"/>
    <s v="No"/>
    <s v="HAI = CLEAR-2"/>
    <m/>
  </r>
  <r>
    <x v="0"/>
    <n v="5"/>
    <n v="2"/>
    <n v="4"/>
    <n v="1"/>
    <n v="5.2"/>
    <s v="5.2.4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Between-Subjects"/>
    <s v="In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CLEAR-8"/>
    <s v="Yes"/>
    <s v="No"/>
    <s v="Image, Numeric"/>
    <s v="Prediction Error"/>
    <s v="Error"/>
    <s v="Down"/>
    <n v="750"/>
    <n v="152"/>
    <n v="150"/>
    <s v="Crowdworkers"/>
    <s v="Crowdworkers"/>
    <s v="MTurk"/>
    <s v="No"/>
    <s v="Yes"/>
    <n v="31145"/>
    <n v="18000"/>
    <n v="25727"/>
    <n v="-31145"/>
    <n v="-18000"/>
    <n v="-25727"/>
    <s v="AI"/>
    <n v="-18000"/>
    <n v="-31145"/>
    <n v="0"/>
    <n v="11303"/>
    <n v="0"/>
    <n v="8860"/>
    <n v="0"/>
    <n v="11303"/>
    <s v="No"/>
    <s v="HAI = CLEAR-8"/>
    <m/>
  </r>
  <r>
    <x v="0"/>
    <n v="5"/>
    <n v="3"/>
    <n v="1"/>
    <n v="1"/>
    <n v="5.3"/>
    <s v="5.3.1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Within-Subjects"/>
    <s v="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BB-2"/>
    <s v="No"/>
    <s v="No"/>
    <m/>
    <s v="Prediction Error"/>
    <s v="Error"/>
    <s v="Down"/>
    <n v="803"/>
    <n v="202"/>
    <n v="202"/>
    <s v="Crowdworkers"/>
    <s v="Crowdworkers"/>
    <s v="MTurk"/>
    <s v="No"/>
    <s v="Yes"/>
    <n v="322426"/>
    <n v="180000"/>
    <n v="226436"/>
    <n v="-322426"/>
    <n v="-180000"/>
    <n v="-226436"/>
    <s v="AI"/>
    <n v="-180000"/>
    <n v="-322426"/>
    <n v="0"/>
    <n v="121858"/>
    <n v="0"/>
    <n v="77781"/>
    <n v="0"/>
    <n v="121858"/>
    <s v="No"/>
    <s v="HAI = BB-2"/>
    <m/>
  </r>
  <r>
    <x v="0"/>
    <n v="5"/>
    <n v="3"/>
    <n v="2"/>
    <n v="1"/>
    <n v="5.3"/>
    <s v="5.3.2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Within-Subjects"/>
    <s v="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BB-8"/>
    <s v="No"/>
    <s v="No"/>
    <m/>
    <s v="Prediction Error"/>
    <s v="Error"/>
    <s v="Down"/>
    <n v="803"/>
    <n v="200"/>
    <n v="200"/>
    <s v="Crowdworkers"/>
    <s v="Crowdworkers"/>
    <s v="MTurk"/>
    <s v="No"/>
    <s v="Yes"/>
    <n v="324141"/>
    <n v="180000"/>
    <n v="217980"/>
    <n v="-324141"/>
    <n v="-180000"/>
    <n v="-217980"/>
    <s v="AI"/>
    <n v="-180000"/>
    <n v="-324141"/>
    <n v="0"/>
    <n v="109289"/>
    <n v="0"/>
    <n v="64729"/>
    <n v="0"/>
    <n v="109289"/>
    <s v="No"/>
    <s v="HAI = BB-8"/>
    <m/>
  </r>
  <r>
    <x v="0"/>
    <n v="5"/>
    <n v="3"/>
    <n v="3"/>
    <n v="1"/>
    <n v="5.3"/>
    <s v="5.3.3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Within-Subjects"/>
    <s v="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CLEAR-2"/>
    <s v="Yes"/>
    <s v="No"/>
    <s v="Image, Numeric"/>
    <s v="Prediction Error"/>
    <s v="Error"/>
    <s v="Down"/>
    <n v="803"/>
    <n v="202"/>
    <n v="202"/>
    <s v="Crowdworkers"/>
    <s v="Crowdworkers"/>
    <s v="MTurk"/>
    <s v="No"/>
    <s v="Yes"/>
    <n v="307277"/>
    <n v="180000"/>
    <n v="221535"/>
    <n v="-307277"/>
    <n v="-180000"/>
    <n v="-221535"/>
    <s v="AI"/>
    <n v="-180000"/>
    <n v="-307277"/>
    <n v="0"/>
    <n v="110692"/>
    <n v="0"/>
    <n v="67183"/>
    <n v="0"/>
    <n v="110692"/>
    <s v="No"/>
    <s v="HAI = CLEAR-2"/>
    <m/>
  </r>
  <r>
    <x v="0"/>
    <n v="5"/>
    <n v="3"/>
    <n v="4"/>
    <n v="1"/>
    <n v="5.3"/>
    <s v="5.3.4.1"/>
    <x v="0"/>
    <s v="Poursabzi-Sangdeh, Forough; Goldstein, Daniel G; Hofman, Jake M; Wortman Vaughan, Jennifer Wortman; Wallach, Hanna"/>
    <n v="2021"/>
    <s v="Business"/>
    <s v="Proceedings of the 2021 CHI Conference on Human Factors in Computing Systems"/>
    <s v="Mixed, Within-Subjects"/>
    <s v="Dependent Samples"/>
    <s v="Predict housing prices"/>
    <s v="Numeric"/>
    <s v="Numeric"/>
    <s v="No"/>
    <s v="No"/>
    <s v="No"/>
    <s v="Yes"/>
    <s v="No"/>
    <s v="No"/>
    <s v="Numeric"/>
    <s v="Numeric"/>
    <s v="Decide"/>
    <s v="Shallow"/>
    <s v="Numeric"/>
    <s v="Numeric"/>
    <s v="Shallow"/>
    <s v="Human"/>
    <s v="No"/>
    <s v="HAI = CLEAR-8"/>
    <s v="Yes"/>
    <s v="No"/>
    <s v="Image, Numeric"/>
    <s v="Prediction Error"/>
    <s v="Error"/>
    <s v="Down"/>
    <n v="803"/>
    <n v="198"/>
    <n v="198"/>
    <s v="Crowdworkers"/>
    <s v="Crowdworkers"/>
    <s v="MTurk"/>
    <s v="No"/>
    <s v="Yes"/>
    <n v="328950"/>
    <n v="180000"/>
    <n v="220850"/>
    <n v="-328950"/>
    <n v="-180000"/>
    <n v="-220850"/>
    <s v="AI"/>
    <n v="-180000"/>
    <n v="-328950"/>
    <n v="0"/>
    <n v="114314"/>
    <n v="0"/>
    <n v="56335"/>
    <n v="0"/>
    <n v="114314"/>
    <s v="No"/>
    <s v="HAI = CLEAR-8"/>
    <m/>
  </r>
  <r>
    <x v="1"/>
    <n v="6"/>
    <n v="3"/>
    <n v="1"/>
    <n v="1"/>
    <n v="6.3"/>
    <s v="6.3.1.1"/>
    <x v="1"/>
    <s v="Bansal, Gagan; Wu, Tongshuang; Zhou, Joyce; Fok, Raymond; Nushi, Besmira; Kamar, Ece; Ribeiro, Marco Tulio; Weld, Daniel"/>
    <n v="2021"/>
    <s v="Business"/>
    <s v="Proceedings of the 2021 CHI Conference on Human Factors in Computing Systems"/>
    <s v="Between-Subjects"/>
    <s v="Independent Samples"/>
    <s v="Answer LSAT question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LSAT, Conf"/>
    <s v="Yes"/>
    <s v="Yes"/>
    <s v="Numeric"/>
    <s v="Accuracy"/>
    <s v="Accuracy"/>
    <s v="Up"/>
    <n v="507"/>
    <n v="100"/>
    <n v="102"/>
    <s v="Crowdworkers"/>
    <s v="Crowdworkers"/>
    <s v="MTurk"/>
    <s v="No"/>
    <s v="Yes"/>
    <n v="0.58150000000000002"/>
    <n v="0.65"/>
    <n v="0.69799999999999995"/>
    <n v="0.58150000000000002"/>
    <n v="0.65"/>
    <n v="0.69799999999999995"/>
    <s v="AI"/>
    <n v="0.65"/>
    <n v="0.58150000000000002"/>
    <n v="1"/>
    <n v="0.16500000000000001"/>
    <n v="0"/>
    <n v="0.1391"/>
    <n v="0"/>
    <n v="0.16500000000000001"/>
    <s v="No"/>
    <s v="HAI = Conf"/>
    <m/>
  </r>
  <r>
    <x v="1"/>
    <n v="6"/>
    <n v="3"/>
    <n v="2"/>
    <n v="1"/>
    <n v="6.3"/>
    <s v="6.3.2.1"/>
    <x v="1"/>
    <s v="Bansal, Gagan; Wu, Tongshuang; Zhou, Joyce; Fok, Raymond; Nushi, Besmira; Kamar, Ece; Ribeiro, Marco Tulio; Weld, Daniel"/>
    <n v="2021"/>
    <s v="Business"/>
    <s v="Proceedings of the 2021 CHI Conference on Human Factors in Computing Systems"/>
    <s v="Between-Subjects"/>
    <s v="Independent Samples"/>
    <s v="Answer LSAT question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LSAT, Explain-Top-1"/>
    <s v="Yes"/>
    <s v="Yes"/>
    <s v="Image, Numeric, Text"/>
    <s v="Accuracy"/>
    <s v="Accuracy"/>
    <s v="Up"/>
    <n v="507"/>
    <n v="100"/>
    <n v="101"/>
    <s v="Crowdworkers"/>
    <s v="Crowdworkers"/>
    <s v="MTurk"/>
    <s v="No"/>
    <s v="Yes"/>
    <n v="0.58150000000000002"/>
    <n v="0.65"/>
    <n v="0.69010000000000005"/>
    <n v="0.58150000000000002"/>
    <n v="0.65"/>
    <n v="0.69010000000000005"/>
    <s v="AI"/>
    <n v="0.65"/>
    <n v="0.58150000000000002"/>
    <n v="1"/>
    <n v="0.16500000000000001"/>
    <n v="0"/>
    <n v="0.1303"/>
    <n v="0"/>
    <n v="0.16500000000000001"/>
    <s v="No"/>
    <s v="HAI = Explain-Top-1"/>
    <m/>
  </r>
  <r>
    <x v="1"/>
    <n v="6"/>
    <n v="3"/>
    <n v="3"/>
    <n v="1"/>
    <n v="6.3"/>
    <s v="6.3.3.1"/>
    <x v="1"/>
    <s v="Bansal, Gagan; Wu, Tongshuang; Zhou, Joyce; Fok, Raymond; Nushi, Besmira; Kamar, Ece; Ribeiro, Marco Tulio; Weld, Daniel"/>
    <n v="2021"/>
    <s v="Business"/>
    <s v="Proceedings of the 2021 CHI Conference on Human Factors in Computing Systems"/>
    <s v="Between-Subjects"/>
    <s v="Independent Samples"/>
    <s v="Answer LSAT question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LSAT, Explain-Top-2"/>
    <s v="Yes"/>
    <s v="Yes"/>
    <s v="Image, Numeric, Text"/>
    <s v="Accuracy"/>
    <s v="Accuracy"/>
    <s v="Up"/>
    <n v="507"/>
    <n v="100"/>
    <n v="103"/>
    <s v="Crowdworkers"/>
    <s v="Crowdworkers"/>
    <s v="MTurk"/>
    <s v="No"/>
    <s v="Yes"/>
    <n v="0.58150000000000002"/>
    <n v="0.65"/>
    <n v="0.68159999999999998"/>
    <n v="0.58150000000000002"/>
    <n v="0.65"/>
    <n v="0.68159999999999998"/>
    <s v="AI"/>
    <n v="0.65"/>
    <n v="0.58150000000000002"/>
    <n v="1"/>
    <n v="0.16500000000000001"/>
    <n v="0"/>
    <n v="0.1298"/>
    <n v="0"/>
    <n v="0.16500000000000001"/>
    <s v="No"/>
    <s v="HAI = Explain-Top-2"/>
    <m/>
  </r>
  <r>
    <x v="1"/>
    <n v="6"/>
    <n v="3"/>
    <n v="4"/>
    <n v="1"/>
    <n v="6.3"/>
    <s v="6.3.4.1"/>
    <x v="1"/>
    <s v="Bansal, Gagan; Wu, Tongshuang; Zhou, Joyce; Fok, Raymond; Nushi, Besmira; Kamar, Ece; Ribeiro, Marco Tulio; Weld, Daniel"/>
    <n v="2021"/>
    <s v="Business"/>
    <s v="Proceedings of the 2021 CHI Conference on Human Factors in Computing Systems"/>
    <s v="Between-Subjects"/>
    <s v="Independent Samples"/>
    <s v="Answer LSAT question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LSAT, Adaptive"/>
    <s v="Yes"/>
    <s v="Yes"/>
    <s v="Image, Numeric, Text"/>
    <s v="Accuracy"/>
    <s v="Accuracy"/>
    <s v="Up"/>
    <n v="507"/>
    <n v="100"/>
    <n v="101"/>
    <s v="Crowdworkers"/>
    <s v="Crowdworkers"/>
    <s v="MTurk"/>
    <s v="No"/>
    <s v="Yes"/>
    <n v="0.58150000000000002"/>
    <n v="0.65"/>
    <n v="0.70099999999999996"/>
    <n v="0.58150000000000002"/>
    <n v="0.65"/>
    <n v="0.70099999999999996"/>
    <s v="AI"/>
    <n v="0.65"/>
    <n v="0.58150000000000002"/>
    <n v="1"/>
    <n v="0.16500000000000001"/>
    <n v="0"/>
    <n v="0.12039999999999999"/>
    <n v="0"/>
    <n v="0.16500000000000001"/>
    <s v="No"/>
    <s v="HAI = Adaptive"/>
    <m/>
  </r>
  <r>
    <x v="2"/>
    <n v="7"/>
    <n v="1"/>
    <n v="2"/>
    <n v="1"/>
    <n v="7.1"/>
    <s v="7.1.2.1"/>
    <x v="2"/>
    <s v="Kyriacou, Harrison; Ramakrishnan, Anand; Whitehill, Jacob"/>
    <n v="2021"/>
    <s v="Business"/>
    <s v="LAK21: 11th International Learning Analytics and Knowledge Conference"/>
    <s v="Between-Subjects"/>
    <s v="Independent Samples"/>
    <s v="Sort recyclables"/>
    <s v="Image"/>
    <s v="Image"/>
    <s v="No"/>
    <s v="No"/>
    <s v="Yes"/>
    <s v="No"/>
    <s v="No"/>
    <s v="No"/>
    <s v="Binary"/>
    <s v="Binary"/>
    <s v="Decide"/>
    <s v="Deep"/>
    <s v="Image"/>
    <s v="Image"/>
    <s v="Deep"/>
    <s v="Human"/>
    <s v="No"/>
    <s v="HAI = P-P-N, Round 2"/>
    <s v="No"/>
    <s v="No"/>
    <m/>
    <s v="Score"/>
    <s v="Score"/>
    <s v="Up"/>
    <n v="33"/>
    <n v="21"/>
    <n v="12"/>
    <s v="Crowdworkers"/>
    <s v="Crowdworkers"/>
    <s v="MTurk"/>
    <s v="No"/>
    <s v="Yes"/>
    <n v="60.08"/>
    <n v="100"/>
    <n v="89.67"/>
    <n v="60.08"/>
    <n v="100"/>
    <n v="89.67"/>
    <s v="AI"/>
    <n v="100"/>
    <n v="60.08"/>
    <n v="0"/>
    <n v="26.44"/>
    <n v="0"/>
    <n v="14.19"/>
    <n v="0"/>
    <n v="26.44"/>
    <s v="No"/>
    <s v="HAI = P-P-N, Round 2"/>
    <m/>
  </r>
  <r>
    <x v="3"/>
    <n v="9"/>
    <n v="2"/>
    <n v="1"/>
    <n v="1"/>
    <n v="9.1999999999999993"/>
    <s v="9.2.1.1"/>
    <x v="3"/>
    <s v="Liu, Han; Lai, Vivian; Tan, Chenhao"/>
    <n v="2021"/>
    <s v="Business"/>
    <s v="Proc. ACM Hum.-Comput. Interact."/>
    <s v="Between-Subjects"/>
    <s v="Independent Samples"/>
    <s v="Predict a person's profession"/>
    <s v="Text"/>
    <s v="Text"/>
    <s v="No"/>
    <s v="No"/>
    <s v="No"/>
    <s v="No"/>
    <s v="Yes"/>
    <s v="No"/>
    <s v="Categoric"/>
    <s v="Categoric"/>
    <s v="Decide"/>
    <s v="Shallow"/>
    <s v="Text"/>
    <s v="Categorical"/>
    <s v="Shallow"/>
    <s v="Human"/>
    <s v="No"/>
    <s v="BIOS, IND, H = None/None, HAI = Static/Static"/>
    <s v="Yes"/>
    <s v="No"/>
    <s v="Image, Numeric, Text"/>
    <s v="Accuracy"/>
    <s v="Accuracy"/>
    <s v="Up"/>
    <n v="1296"/>
    <n v="216"/>
    <n v="216"/>
    <s v="Crowdworkers"/>
    <s v="Crowdworkers"/>
    <s v="MTurk"/>
    <s v="No"/>
    <s v="Yes"/>
    <n v="0.63500000000000001"/>
    <n v="0.84099999999999997"/>
    <n v="0.73399999999999999"/>
    <n v="0.63500000000000001"/>
    <n v="0.84099999999999997"/>
    <n v="0.73399999999999999"/>
    <s v="AI"/>
    <n v="0.84099999999999997"/>
    <n v="0.63500000000000001"/>
    <n v="0"/>
    <n v="0.156"/>
    <n v="0"/>
    <n v="0.13400000000000001"/>
    <n v="0"/>
    <n v="0.156"/>
    <s v="No"/>
    <s v="WikiAttack, HAI = Predicted labels"/>
    <m/>
  </r>
  <r>
    <x v="3"/>
    <n v="9"/>
    <n v="2"/>
    <n v="2"/>
    <n v="1"/>
    <n v="9.1999999999999993"/>
    <s v="9.2.2.1"/>
    <x v="3"/>
    <s v="Liu, Han; Lai, Vivian; Tan, Chenhao"/>
    <n v="2021"/>
    <s v="Business"/>
    <s v="Proc. ACM Hum.-Comput. Interact."/>
    <s v="Between-Subjects"/>
    <s v="Independent Samples"/>
    <s v="Predict a person's profession"/>
    <s v="Text"/>
    <s v="Text"/>
    <s v="No"/>
    <s v="No"/>
    <s v="No"/>
    <s v="No"/>
    <s v="Yes"/>
    <s v="No"/>
    <s v="Categoric"/>
    <s v="Categoric"/>
    <s v="Decide"/>
    <s v="Shallow"/>
    <s v="Text"/>
    <s v="Categorical"/>
    <s v="Shallow"/>
    <s v="Human"/>
    <s v="No"/>
    <s v="BIOS, IND, H = None/None, HAI = Inter/Inter"/>
    <s v="Yes"/>
    <s v="No"/>
    <s v="Image, Numeric, Text"/>
    <s v="Accuracy"/>
    <s v="Accuracy"/>
    <s v="Up"/>
    <n v="1296"/>
    <n v="216"/>
    <n v="216"/>
    <s v="Crowdworkers"/>
    <s v="Crowdworkers"/>
    <s v="MTurk"/>
    <s v="No"/>
    <s v="Yes"/>
    <n v="0.63500000000000001"/>
    <n v="0.84099999999999997"/>
    <n v="0.72399999999999998"/>
    <n v="0.63500000000000001"/>
    <n v="0.84099999999999997"/>
    <n v="0.72399999999999998"/>
    <s v="AI"/>
    <n v="0.84099999999999997"/>
    <n v="0.63500000000000001"/>
    <n v="0"/>
    <n v="0.156"/>
    <n v="0"/>
    <n v="0.13900000000000001"/>
    <n v="0"/>
    <n v="0.156"/>
    <s v="No"/>
    <s v="WikiAttack, HAI = Predicted labels + local explanations"/>
    <m/>
  </r>
  <r>
    <x v="3"/>
    <n v="9"/>
    <n v="2"/>
    <n v="3"/>
    <n v="1"/>
    <n v="9.1999999999999993"/>
    <s v="9.2.3.1"/>
    <x v="3"/>
    <s v="Liu, Han; Lai, Vivian; Tan, Chenhao"/>
    <n v="2021"/>
    <s v="Business"/>
    <s v="Proc. ACM Hum.-Comput. Interact."/>
    <s v="Between-Subjects"/>
    <s v="Independent Samples"/>
    <s v="Predict a person's profession"/>
    <s v="Text"/>
    <s v="Text"/>
    <s v="No"/>
    <s v="No"/>
    <s v="No"/>
    <s v="No"/>
    <s v="Yes"/>
    <s v="No"/>
    <s v="Categoric"/>
    <s v="Categoric"/>
    <s v="Decide"/>
    <s v="Shallow"/>
    <s v="Text"/>
    <s v="Categorical"/>
    <s v="Shallow"/>
    <s v="Human"/>
    <s v="No"/>
    <s v="BIOS, OOD, H = None/None, HAI = Static/Static"/>
    <s v="Yes"/>
    <s v="No"/>
    <s v="Image, Numeric, Text"/>
    <s v="Accuracy"/>
    <s v="Accuracy"/>
    <s v="Up"/>
    <n v="1296"/>
    <n v="216"/>
    <n v="216"/>
    <s v="Crowdworkers"/>
    <s v="Crowdworkers"/>
    <s v="MTurk"/>
    <s v="No"/>
    <s v="Yes"/>
    <n v="0.68400000000000005"/>
    <n v="0.76600000000000001"/>
    <n v="0.73499999999999999"/>
    <n v="0.68400000000000005"/>
    <n v="0.76600000000000001"/>
    <n v="0.73499999999999999"/>
    <s v="AI"/>
    <n v="0.76600000000000001"/>
    <n v="0.68400000000000005"/>
    <n v="0"/>
    <n v="0.17699999999999999"/>
    <n v="0"/>
    <n v="0.10199999999999999"/>
    <n v="0"/>
    <n v="0.17699999999999999"/>
    <s v="No"/>
    <s v="WikiAttack, HAI = Predicted labels + local explanations + global explanations"/>
    <m/>
  </r>
  <r>
    <x v="3"/>
    <n v="9"/>
    <n v="2"/>
    <n v="4"/>
    <n v="1"/>
    <n v="9.1999999999999993"/>
    <s v="9.2.4.1"/>
    <x v="3"/>
    <s v="Liu, Han; Lai, Vivian; Tan, Chenhao"/>
    <n v="2021"/>
    <s v="Business"/>
    <s v="Proc. ACM Hum.-Comput. Interact."/>
    <s v="Between-Subjects"/>
    <s v="Independent Samples"/>
    <s v="Predict a person's profession"/>
    <s v="Text"/>
    <s v="Text"/>
    <s v="No"/>
    <s v="No"/>
    <s v="No"/>
    <s v="No"/>
    <s v="Yes"/>
    <s v="No"/>
    <s v="Categoric"/>
    <s v="Categoric"/>
    <s v="Decide"/>
    <s v="Shallow"/>
    <s v="Text"/>
    <s v="Categorical"/>
    <s v="Shallow"/>
    <s v="Human"/>
    <s v="No"/>
    <s v="BIOS, OOD, H = None/None, HAI = Inter/Inter"/>
    <s v="Yes"/>
    <s v="No"/>
    <s v="Image, Numeric, Text"/>
    <s v="Accuracy"/>
    <s v="Accuracy"/>
    <s v="Up"/>
    <n v="1296"/>
    <n v="216"/>
    <n v="216"/>
    <s v="Crowdworkers"/>
    <s v="Crowdworkers"/>
    <s v="MTurk"/>
    <s v="No"/>
    <s v="Yes"/>
    <n v="0.68400000000000005"/>
    <n v="0.76600000000000001"/>
    <n v="0.72799999999999998"/>
    <n v="0.68400000000000005"/>
    <n v="0.76600000000000001"/>
    <n v="0.72799999999999998"/>
    <s v="AI"/>
    <n v="0.76600000000000001"/>
    <n v="0.68400000000000005"/>
    <n v="0"/>
    <n v="0.17699999999999999"/>
    <n v="0"/>
    <n v="0.13"/>
    <n v="0"/>
    <n v="0.17699999999999999"/>
    <s v="No"/>
    <s v="Reddit, HAI = Predicted labels"/>
    <m/>
  </r>
  <r>
    <x v="4"/>
    <n v="14"/>
    <n v="1"/>
    <n v="1"/>
    <n v="1"/>
    <n v="14.1"/>
    <s v="14.1.1.1"/>
    <x v="4"/>
    <s v="Ma, Shuai; Lei, Ying; Wang, Xinru; Zheng, Chengbo; Shi, Chuhan; Yin, Ming; Ma, Xiaojuan"/>
    <n v="2023"/>
    <s v="Business"/>
    <s v="Proceedings of the 2023 CHI Conference on Human Factors in Computing Systems"/>
    <s v="Between-Subjects"/>
    <s v="Independent Samples"/>
    <s v="Determine if person's income exceeds $50,000"/>
    <s v="Categoric, Numeric"/>
    <s v="Multiple"/>
    <s v="Yes"/>
    <s v="No"/>
    <s v="No"/>
    <s v="Yes"/>
    <s v="No"/>
    <s v="No"/>
    <s v="Binary"/>
    <s v="Binary"/>
    <s v="Decide"/>
    <s v="Shallow"/>
    <s v="Categoric, Numeric"/>
    <s v="Numeric"/>
    <s v="Shallow"/>
    <s v="Human"/>
    <s v="No"/>
    <s v="HAI = AI Confidence"/>
    <s v="No"/>
    <s v="Yes"/>
    <m/>
    <s v="Accuracy"/>
    <s v="Accuracy"/>
    <s v="Up"/>
    <n v="293"/>
    <n v="59"/>
    <n v="59"/>
    <s v="Crowdworkers"/>
    <s v="Crowdworkers"/>
    <s v="Prolific"/>
    <s v="No"/>
    <s v="Yes"/>
    <n v="0.72099999999999997"/>
    <n v="0.7"/>
    <n v="0.72"/>
    <n v="0.72099999999999997"/>
    <n v="0.7"/>
    <n v="0.72"/>
    <s v="Human"/>
    <n v="0.72099999999999997"/>
    <n v="0.7"/>
    <n v="0"/>
    <n v="0.113"/>
    <n v="0"/>
    <n v="9.9000000000000005E-2"/>
    <n v="0.113"/>
    <n v="0"/>
    <s v="No"/>
    <s v="HAI = AI"/>
    <m/>
  </r>
  <r>
    <x v="4"/>
    <n v="14"/>
    <n v="1"/>
    <n v="2"/>
    <n v="1"/>
    <n v="14.1"/>
    <s v="14.1.2.1"/>
    <x v="4"/>
    <s v="Ma, Shuai; Lei, Ying; Wang, Xinru; Zheng, Chengbo; Shi, Chuhan; Yin, Ming; Ma, Xiaojuan"/>
    <n v="2023"/>
    <s v="Business"/>
    <s v="Proceedings of the 2023 CHI Conference on Human Factors in Computing Systems"/>
    <s v="Between-Subjects"/>
    <s v="Independent Samples"/>
    <s v="Determine if person's income exceeds $50,000"/>
    <s v="Categoric, Numeric"/>
    <s v="Multiple"/>
    <s v="Yes"/>
    <s v="No"/>
    <s v="No"/>
    <s v="Yes"/>
    <s v="No"/>
    <s v="No"/>
    <s v="Binary"/>
    <s v="Binary"/>
    <s v="Decide"/>
    <s v="Shallow"/>
    <s v="Categoric, Numeric"/>
    <s v="Numeric"/>
    <s v="Shallow"/>
    <s v="Human"/>
    <s v="No"/>
    <s v="HAI = Direct Display"/>
    <s v="No"/>
    <s v="Yes"/>
    <m/>
    <s v="Accuracy"/>
    <s v="Accuracy"/>
    <s v="Up"/>
    <n v="293"/>
    <n v="59"/>
    <n v="59"/>
    <s v="Crowdworkers"/>
    <s v="Crowdworkers"/>
    <s v="Prolific"/>
    <s v="No"/>
    <s v="Yes"/>
    <n v="0.72099999999999997"/>
    <n v="0.7"/>
    <n v="0.75800000000000001"/>
    <n v="0.72099999999999997"/>
    <n v="0.7"/>
    <n v="0.75800000000000001"/>
    <s v="Human"/>
    <n v="0.72099999999999997"/>
    <n v="0.7"/>
    <n v="1"/>
    <n v="0.113"/>
    <n v="0"/>
    <n v="7.8E-2"/>
    <n v="0.113"/>
    <n v="0"/>
    <s v="No"/>
    <s v="HAI = AI + BD"/>
    <m/>
  </r>
  <r>
    <x v="4"/>
    <n v="14"/>
    <n v="1"/>
    <n v="3"/>
    <n v="1"/>
    <n v="14.1"/>
    <s v="14.1.3.1"/>
    <x v="4"/>
    <s v="Ma, Shuai; Lei, Ying; Wang, Xinru; Zheng, Chengbo; Shi, Chuhan; Yin, Ming; Ma, Xiaojuan"/>
    <n v="2023"/>
    <s v="Business"/>
    <s v="Proceedings of the 2023 CHI Conference on Human Factors in Computing Systems"/>
    <s v="Between-Subjects"/>
    <s v="Independent Samples"/>
    <s v="Determine if person's income exceeds $50,000"/>
    <s v="Categoric, Numeric"/>
    <s v="Multiple"/>
    <s v="Yes"/>
    <s v="No"/>
    <s v="No"/>
    <s v="Yes"/>
    <s v="No"/>
    <s v="No"/>
    <s v="Binary"/>
    <s v="Binary"/>
    <s v="Decide"/>
    <s v="Shallow"/>
    <s v="Categoric, Numeric"/>
    <s v="Numeric"/>
    <s v="Shallow"/>
    <s v="Human"/>
    <s v="No"/>
    <s v="HAI = Adaptive Workflow"/>
    <s v="No"/>
    <s v="Yes"/>
    <m/>
    <s v="Accuracy"/>
    <s v="Accuracy"/>
    <s v="Up"/>
    <n v="293"/>
    <n v="59"/>
    <n v="56"/>
    <s v="Crowdworkers"/>
    <s v="Crowdworkers"/>
    <s v="Prolific"/>
    <s v="No"/>
    <s v="Yes"/>
    <n v="0.72099999999999997"/>
    <n v="0.7"/>
    <n v="0.76700000000000002"/>
    <n v="0.72099999999999997"/>
    <n v="0.7"/>
    <n v="0.76700000000000002"/>
    <s v="Human"/>
    <n v="0.72099999999999997"/>
    <n v="0.7"/>
    <n v="1"/>
    <n v="0.113"/>
    <n v="0"/>
    <n v="8.5000000000000006E-2"/>
    <n v="0.113"/>
    <n v="0"/>
    <s v="No"/>
    <s v="HAI = AI"/>
    <m/>
  </r>
  <r>
    <x v="4"/>
    <n v="14"/>
    <n v="1"/>
    <n v="4"/>
    <n v="1"/>
    <n v="14.1"/>
    <s v="14.1.4.1"/>
    <x v="4"/>
    <s v="Ma, Shuai; Lei, Ying; Wang, Xinru; Zheng, Chengbo; Shi, Chuhan; Yin, Ming; Ma, Xiaojuan"/>
    <n v="2023"/>
    <s v="Business"/>
    <s v="Proceedings of the 2023 CHI Conference on Human Factors in Computing Systems"/>
    <s v="Between-Subjects"/>
    <s v="Independent Samples"/>
    <s v="Determine if person's income exceeds $50,000"/>
    <s v="Categoric, Numeric"/>
    <s v="Multiple"/>
    <s v="Yes"/>
    <s v="No"/>
    <s v="No"/>
    <s v="Yes"/>
    <s v="No"/>
    <s v="No"/>
    <s v="Binary"/>
    <s v="Binary"/>
    <s v="Decide"/>
    <s v="Shallow"/>
    <s v="Categoric, Numeric"/>
    <s v="Numeric"/>
    <s v="Shallow"/>
    <s v="Human"/>
    <s v="No"/>
    <s v="HAI = Adaptive Recommendation"/>
    <s v="Yes"/>
    <s v="Yes"/>
    <s v="Image, Numeric"/>
    <s v="Accuracy"/>
    <s v="Accuracy"/>
    <s v="Up"/>
    <n v="293"/>
    <n v="59"/>
    <n v="56"/>
    <s v="Crowdworkers"/>
    <s v="Crowdworkers"/>
    <s v="Prolific"/>
    <s v="No"/>
    <s v="Yes"/>
    <n v="0.72099999999999997"/>
    <n v="0.7"/>
    <n v="0.754"/>
    <n v="0.72099999999999997"/>
    <n v="0.7"/>
    <n v="0.754"/>
    <s v="Human"/>
    <n v="0.72099999999999997"/>
    <n v="0.7"/>
    <n v="1"/>
    <n v="0.113"/>
    <n v="0"/>
    <n v="7.1999999999999995E-2"/>
    <n v="0.113"/>
    <n v="0"/>
    <s v="No"/>
    <s v="HAI = AI + BD"/>
    <m/>
  </r>
  <r>
    <x v="5"/>
    <n v="20"/>
    <n v="1"/>
    <n v="1"/>
    <n v="1"/>
    <n v="20.100000000000001"/>
    <s v="20.1.1.1"/>
    <x v="5"/>
    <s v="Lehmann, Cedric A.; Haubitz, Christiane B.; Fuegener, Andreas; Thonemann, Ulrich W."/>
    <n v="2022"/>
    <s v="Business"/>
    <s v="Production and Operations Management"/>
    <s v="Mixed, Within-Subjects"/>
    <s v="Dependent Samples"/>
    <s v="Forecast demand"/>
    <s v="Numeric"/>
    <s v="Numeric"/>
    <s v="No"/>
    <s v="No"/>
    <s v="No"/>
    <s v="Yes"/>
    <s v="No"/>
    <s v="No"/>
    <s v="Numeric"/>
    <s v="Numeric"/>
    <s v="Decide"/>
    <s v="Shallow"/>
    <s v="Numeric"/>
    <s v="Continuous"/>
    <s v="Shallow"/>
    <s v="Human"/>
    <s v="No"/>
    <s v="HAI = Nontransparent"/>
    <s v="No"/>
    <s v="No"/>
    <m/>
    <s v="MAE"/>
    <s v="Error"/>
    <s v="Down"/>
    <n v="509"/>
    <n v="171"/>
    <n v="171"/>
    <s v="Crowdworkers"/>
    <s v="Crowdworkers"/>
    <s v="MTurk"/>
    <s v="No"/>
    <s v="Yes"/>
    <n v="179.54"/>
    <n v="66.2"/>
    <n v="111.24"/>
    <n v="-179.54"/>
    <n v="-66.2"/>
    <n v="-111.24"/>
    <s v="AI"/>
    <n v="-66.2"/>
    <n v="-179.54"/>
    <n v="0"/>
    <n v="47.93"/>
    <n v="0"/>
    <n v="42.24"/>
    <n v="0"/>
    <n v="47.93"/>
    <s v="No"/>
    <s v="H = TagLab Manual; HAI = TagLabEdit"/>
    <m/>
  </r>
  <r>
    <x v="5"/>
    <n v="20"/>
    <n v="1"/>
    <n v="2"/>
    <n v="1"/>
    <n v="20.100000000000001"/>
    <s v="20.1.2.1"/>
    <x v="5"/>
    <s v="Lehmann, Cedric A.; Haubitz, Christiane B.; Fuegener, Andreas; Thonemann, Ulrich W."/>
    <n v="2022"/>
    <s v="Business"/>
    <s v="Production and Operations Management"/>
    <s v="Mixed, Within-Subjects"/>
    <s v="Dependent Samples"/>
    <s v="Forecast demand"/>
    <s v="Numeric"/>
    <s v="Numeric"/>
    <s v="No"/>
    <s v="No"/>
    <s v="No"/>
    <s v="Yes"/>
    <s v="No"/>
    <s v="No"/>
    <s v="Numeric"/>
    <s v="Numeric"/>
    <s v="Decide"/>
    <s v="Shallow"/>
    <s v="Numeric"/>
    <s v="Continuous"/>
    <s v="Shallow"/>
    <s v="Human"/>
    <s v="No"/>
    <s v="HAI = Transparent-simple"/>
    <s v="Yes"/>
    <s v="No"/>
    <s v="Numeric, Text"/>
    <s v="MAE"/>
    <s v="Error"/>
    <s v="Down"/>
    <n v="509"/>
    <n v="171"/>
    <n v="171"/>
    <s v="Crowdworkers"/>
    <s v="Crowdworkers"/>
    <s v="MTurk"/>
    <s v="No"/>
    <s v="Yes"/>
    <n v="184.04"/>
    <n v="66.2"/>
    <n v="135"/>
    <n v="-184.04"/>
    <n v="-66.2"/>
    <n v="-135"/>
    <s v="AI"/>
    <n v="-66.2"/>
    <n v="-184.04"/>
    <n v="0"/>
    <n v="47.29"/>
    <n v="0"/>
    <n v="55.45"/>
    <n v="0"/>
    <n v="47.29"/>
    <s v="No"/>
    <s v="H = TagLab Manual; HAI = TagLabAssisted"/>
    <m/>
  </r>
  <r>
    <x v="5"/>
    <n v="20"/>
    <n v="1"/>
    <n v="3"/>
    <n v="1"/>
    <n v="20.100000000000001"/>
    <s v="20.1.3.1"/>
    <x v="5"/>
    <s v="Lehmann, Cedric A.; Haubitz, Christiane B.; Fuegener, Andreas; Thonemann, Ulrich W."/>
    <n v="2022"/>
    <s v="Business"/>
    <s v="Production and Operations Management"/>
    <s v="Mixed, Within-Subjects"/>
    <s v="Dependent Samples"/>
    <s v="Forecast demand"/>
    <s v="Numeric"/>
    <s v="Numeric"/>
    <s v="No"/>
    <s v="No"/>
    <s v="No"/>
    <s v="Yes"/>
    <s v="No"/>
    <s v="No"/>
    <s v="Numeric"/>
    <s v="Numeric"/>
    <s v="Decide"/>
    <s v="Shallow"/>
    <s v="Numeric"/>
    <s v="Continuous"/>
    <s v="Shallow"/>
    <s v="Human"/>
    <s v="No"/>
    <s v="HAI = Transparent"/>
    <s v="Yes"/>
    <s v="No"/>
    <s v="Image, Numeric, Text"/>
    <s v="MAE"/>
    <s v="Error"/>
    <s v="Down"/>
    <n v="509"/>
    <n v="167"/>
    <n v="167"/>
    <s v="Crowdworkers"/>
    <s v="Crowdworkers"/>
    <s v="MTurk"/>
    <s v="No"/>
    <s v="Yes"/>
    <n v="181.81"/>
    <n v="66.2"/>
    <n v="106.79"/>
    <n v="-181.81"/>
    <n v="-66.2"/>
    <n v="-106.79"/>
    <s v="AI"/>
    <n v="-66.2"/>
    <n v="-181.81"/>
    <n v="0"/>
    <n v="43.61"/>
    <n v="0"/>
    <n v="42.9"/>
    <n v="0"/>
    <n v="43.61"/>
    <s v="No"/>
    <s v="H = TagLab Manual; HAI = TagLabEdit"/>
    <m/>
  </r>
  <r>
    <x v="6"/>
    <n v="27"/>
    <n v="1"/>
    <n v="1"/>
    <n v="1"/>
    <n v="27.1"/>
    <s v="27.1.1.1"/>
    <x v="6"/>
    <s v="Skirzynski, J; Becker, F; Lieder, F"/>
    <n v="2021"/>
    <s v="Business"/>
    <s v="Machine Learning"/>
    <s v="Between-Subjects"/>
    <s v="Independent Samples"/>
    <s v="Plan a route"/>
    <s v="Numeric"/>
    <s v="Numeric"/>
    <s v="No"/>
    <s v="No"/>
    <s v="No"/>
    <s v="Yes"/>
    <s v="No"/>
    <s v="No"/>
    <s v="Categoric"/>
    <s v="Categoric"/>
    <s v="Decide"/>
    <s v="Shallow"/>
    <s v="Numeric"/>
    <s v="Categorical"/>
    <s v="Shallow"/>
    <s v="Human"/>
    <s v="No"/>
    <s v="Increasing Variance"/>
    <s v="Yes"/>
    <s v="No"/>
    <s v="Image, Text"/>
    <s v="Expected Score"/>
    <s v="Score"/>
    <s v="Up"/>
    <n v="236"/>
    <n v="78"/>
    <n v="79"/>
    <s v="Crowdworkers"/>
    <s v="Crowdworkers"/>
    <s v="MTurk"/>
    <s v="No"/>
    <s v="Yes"/>
    <n v="28.41"/>
    <n v="39.17"/>
    <n v="34.47"/>
    <n v="28.41"/>
    <n v="39.17"/>
    <n v="34.47"/>
    <s v="AI"/>
    <n v="39.17"/>
    <n v="28.41"/>
    <n v="0"/>
    <n v="13.33"/>
    <n v="0"/>
    <n v="11.85"/>
    <n v="0"/>
    <n v="13.33"/>
    <s v="No"/>
    <s v="AI-FHD(Higher)"/>
    <m/>
  </r>
  <r>
    <x v="6"/>
    <n v="27"/>
    <n v="2"/>
    <n v="1"/>
    <n v="1"/>
    <n v="27.2"/>
    <s v="27.2.1.1"/>
    <x v="6"/>
    <s v="Skirzynski, J; Becker, F; Lieder, F"/>
    <n v="2021"/>
    <s v="Business"/>
    <s v="Machine Learning"/>
    <s v="Between-Subjects"/>
    <s v="Independent Samples"/>
    <s v="Plan a route"/>
    <s v="Numeric"/>
    <s v="Numeric"/>
    <s v="No"/>
    <s v="No"/>
    <s v="No"/>
    <s v="Yes"/>
    <s v="No"/>
    <s v="No"/>
    <s v="Categoric"/>
    <s v="Categoric"/>
    <s v="Decide"/>
    <s v="Shallow"/>
    <s v="Numeric"/>
    <s v="Categorical"/>
    <s v="Shallow"/>
    <s v="Human"/>
    <s v="No"/>
    <s v="Decreasing Variance"/>
    <s v="Yes"/>
    <s v="No"/>
    <s v="Image, Text"/>
    <s v="Expected Score"/>
    <s v="Score"/>
    <s v="Up"/>
    <n v="222"/>
    <n v="70"/>
    <n v="76"/>
    <s v="Crowdworkers"/>
    <s v="Crowdworkers"/>
    <s v="MTurk"/>
    <s v="No"/>
    <s v="Yes"/>
    <n v="22.75"/>
    <n v="28.47"/>
    <n v="24.02"/>
    <n v="22.75"/>
    <n v="28.47"/>
    <n v="24.02"/>
    <s v="AI"/>
    <n v="28.47"/>
    <n v="22.75"/>
    <n v="0"/>
    <n v="8.18"/>
    <n v="0"/>
    <n v="7.38"/>
    <n v="0"/>
    <n v="8.18"/>
    <s v="No"/>
    <s v="AI-XAI-FHD(Lower)"/>
    <m/>
  </r>
  <r>
    <x v="6"/>
    <n v="27"/>
    <n v="3"/>
    <n v="1"/>
    <n v="1"/>
    <n v="27.3"/>
    <s v="27.3.1.1"/>
    <x v="6"/>
    <s v="Skirzynski, J; Becker, F; Lieder, F"/>
    <n v="2021"/>
    <s v="Business"/>
    <s v="Machine Learning"/>
    <s v="Between-Subjects"/>
    <s v="Independent Samples"/>
    <s v="Plan a route"/>
    <s v="Numeric"/>
    <s v="Numeric"/>
    <s v="No"/>
    <s v="No"/>
    <s v="No"/>
    <s v="Yes"/>
    <s v="No"/>
    <s v="No"/>
    <s v="Categoric"/>
    <s v="Categoric"/>
    <s v="Decide"/>
    <s v="Shallow"/>
    <s v="Numeric"/>
    <s v="Categorical"/>
    <s v="Shallow"/>
    <s v="Human"/>
    <s v="No"/>
    <s v="Constant Variance"/>
    <s v="Yes"/>
    <s v="No"/>
    <s v="Image, Text"/>
    <s v="Expected Score"/>
    <s v="Score"/>
    <s v="Up"/>
    <n v="178"/>
    <n v="60"/>
    <n v="59"/>
    <s v="Crowdworkers"/>
    <s v="Crowdworkers"/>
    <s v="MTurk"/>
    <s v="No"/>
    <s v="Yes"/>
    <n v="4.17"/>
    <n v="7.03"/>
    <n v="5.95"/>
    <n v="4.17"/>
    <n v="7.03"/>
    <n v="5.95"/>
    <s v="AI"/>
    <n v="7.03"/>
    <n v="4.17"/>
    <n v="0"/>
    <n v="2.63"/>
    <n v="0"/>
    <n v="2.75"/>
    <n v="0"/>
    <n v="2.63"/>
    <s v="No"/>
    <s v="AI-XAI-FHD(Higher)"/>
    <m/>
  </r>
  <r>
    <x v="7"/>
    <n v="68"/>
    <n v="1"/>
    <n v="2"/>
    <n v="1"/>
    <n v="68.099999999999994"/>
    <s v="68.1.2.1"/>
    <x v="7"/>
    <s v="Hemmer, Patrick; Schemmer, Max; KÃ¼hl, Niklas; VÃ¶ssing, Michael; Satzger, Gerhard"/>
    <n v="2022"/>
    <s v="Business"/>
    <s v="CHI Conference on Human Factors in Computing Systems (CHI â€™22), Workshop on_x000a_Human-Centered Explainable AI (HCXAI)"/>
    <s v="Between-Subjects"/>
    <s v="Independent Samples"/>
    <s v="Predict housing prices"/>
    <s v="Categoric, Numeric"/>
    <s v="Multiple"/>
    <s v="Yes"/>
    <s v="No"/>
    <s v="No"/>
    <s v="Yes"/>
    <s v="No"/>
    <s v="No"/>
    <s v="Numeric"/>
    <s v="Numeric"/>
    <s v="Decide"/>
    <s v="Shallow"/>
    <s v="Categoric, Numeric"/>
    <s v="Continuous"/>
    <s v="Shallow"/>
    <s v="Human"/>
    <s v="No"/>
    <s v="UHCI"/>
    <s v="No"/>
    <s v="Yes"/>
    <m/>
    <s v="MAE"/>
    <s v="Error"/>
    <s v="Down"/>
    <n v="154"/>
    <n v="48"/>
    <n v="48"/>
    <s v="Crowdworkers"/>
    <s v="Crowdworkers"/>
    <s v="Prolific"/>
    <s v="No"/>
    <s v="Yes"/>
    <n v="200510"/>
    <n v="163080"/>
    <n v="148009"/>
    <n v="-200510"/>
    <n v="-163080"/>
    <n v="-148009"/>
    <s v="AI"/>
    <n v="-163080"/>
    <n v="-200510"/>
    <n v="1"/>
    <n v="45348"/>
    <n v="0"/>
    <n v="22079"/>
    <n v="0"/>
    <n v="45348"/>
    <s v="No"/>
    <s v="Concurrent, AI, HAI = B, Noise = 125"/>
    <m/>
  </r>
  <r>
    <x v="8"/>
    <n v="69"/>
    <n v="1"/>
    <n v="1"/>
    <n v="1"/>
    <n v="69.099999999999994"/>
    <s v="69.1.1.1"/>
    <x v="8"/>
    <s v="Chen, Valerie; Liao, Q. Vera; Vaughan, Jennifer Wortman; Bansal, Gagan"/>
    <n v="2023"/>
    <s v="Business"/>
    <s v="CSCW 2023"/>
    <s v="Within-Subjects"/>
    <s v="Dependent Samples"/>
    <s v="Predict housing prices"/>
    <s v="Categoric, Numeric"/>
    <s v="Multiple"/>
    <s v="Yes"/>
    <s v="No"/>
    <s v="No"/>
    <s v="Yes"/>
    <s v="No"/>
    <s v="No"/>
    <s v="Binary"/>
    <s v="Binary"/>
    <s v="Decide"/>
    <s v="Shallow"/>
    <s v="Categoric, Numeric"/>
    <s v="Binary"/>
    <s v="Shallow"/>
    <s v="Human"/>
    <s v="No"/>
    <s v="HAI = Feature-Based"/>
    <s v="Yes"/>
    <s v="No"/>
    <s v="Image, Numeric"/>
    <s v="Accuracy"/>
    <s v="Accuracy"/>
    <s v="Up"/>
    <n v="13"/>
    <n v="13"/>
    <n v="13"/>
    <s v="Volunteers"/>
    <s v="Volunteers"/>
    <s v="Email, Twitter"/>
    <s v="No"/>
    <s v="No"/>
    <n v="0.61099999999999999"/>
    <n v="0.625"/>
    <n v="0.60599999999999998"/>
    <n v="0.61099999999999999"/>
    <n v="0.625"/>
    <n v="0.60599999999999998"/>
    <s v="AI"/>
    <n v="0.625"/>
    <n v="0.61099999999999999"/>
    <n v="0"/>
    <n v="0.1046"/>
    <n v="0"/>
    <n v="0.15140000000000001"/>
    <n v="0"/>
    <n v="0.1046"/>
    <s v="No"/>
    <s v="Concurrent, AI, HAI = B, Noise = 140"/>
    <m/>
  </r>
  <r>
    <x v="8"/>
    <n v="69"/>
    <n v="1"/>
    <n v="2"/>
    <n v="1"/>
    <n v="69.099999999999994"/>
    <s v="69.1.2.1"/>
    <x v="8"/>
    <s v="Chen, Valerie; Liao, Q. Vera; Vaughan, Jennifer Wortman; Bansal, Gagan"/>
    <n v="2023"/>
    <s v="Business"/>
    <s v="CSCW 2023"/>
    <s v="Within-Subjects"/>
    <s v="Dependent Samples"/>
    <s v="Predict housing prices"/>
    <s v="Categoric, Numeric"/>
    <s v="Multiple"/>
    <s v="Yes"/>
    <s v="No"/>
    <s v="No"/>
    <s v="Yes"/>
    <s v="No"/>
    <s v="No"/>
    <s v="Binary"/>
    <s v="Binary"/>
    <s v="Decide"/>
    <s v="Shallow"/>
    <s v="Categoric, Numeric"/>
    <s v="Binary"/>
    <s v="Shallow"/>
    <s v="Human"/>
    <s v="No"/>
    <s v="HAI = Example-Based"/>
    <s v="Yes"/>
    <s v="No"/>
    <s v="Image, Numeric, Text"/>
    <s v="Accuracy"/>
    <s v="Accuracy"/>
    <s v="Up"/>
    <n v="13"/>
    <n v="13"/>
    <n v="13"/>
    <s v="Volunteers"/>
    <s v="Volunteers"/>
    <s v="Email, Twitter"/>
    <s v="No"/>
    <s v="No"/>
    <n v="0.61099999999999999"/>
    <n v="0.625"/>
    <n v="0.71099999999999997"/>
    <n v="0.61099999999999999"/>
    <n v="0.625"/>
    <n v="0.71099999999999997"/>
    <s v="AI"/>
    <n v="0.625"/>
    <n v="0.61099999999999999"/>
    <n v="1"/>
    <n v="0.1046"/>
    <n v="0"/>
    <n v="0.1046"/>
    <n v="0"/>
    <n v="0.1046"/>
    <s v="No"/>
    <s v="Concurrent, AI, HAI = B, Noise = 155"/>
    <m/>
  </r>
  <r>
    <x v="8"/>
    <n v="69"/>
    <n v="2"/>
    <n v="1"/>
    <n v="1"/>
    <n v="69.2"/>
    <s v="69.2.1.1"/>
    <x v="8"/>
    <s v="Chen, Valerie; Liao, Q. Vera; Vaughan, Jennifer Wortman; Bansal, Gagan"/>
    <n v="2023"/>
    <s v="Business"/>
    <s v="CSCW 2023"/>
    <s v="Within-Subjects"/>
    <s v="Dependent Samples"/>
    <s v="Predict housing prices"/>
    <s v="Categoric, Numeric"/>
    <s v="Multiple"/>
    <s v="Yes"/>
    <s v="No"/>
    <s v="No"/>
    <s v="Yes"/>
    <s v="No"/>
    <s v="No"/>
    <s v="Categoric"/>
    <s v="Categoric"/>
    <s v="Decide"/>
    <s v="Shallow"/>
    <s v="Categoric, Numeric"/>
    <s v="Categorical"/>
    <s v="Shallow"/>
    <s v="Human"/>
    <s v="No"/>
    <s v="HAI = Feature-Based"/>
    <s v="Yes"/>
    <s v="No"/>
    <s v="Image, Numeric"/>
    <s v="Accuracy"/>
    <s v="Accuracy"/>
    <s v="Up"/>
    <n v="13"/>
    <n v="13"/>
    <n v="13"/>
    <s v="Volunteers"/>
    <s v="Volunteers"/>
    <s v="Email, Twitter"/>
    <s v="No"/>
    <s v="No"/>
    <n v="0.6"/>
    <n v="0.625"/>
    <n v="0.64400000000000002"/>
    <n v="0.6"/>
    <n v="0.625"/>
    <n v="0.64400000000000002"/>
    <s v="AI"/>
    <n v="0.625"/>
    <n v="0.6"/>
    <n v="1"/>
    <n v="0.15859999999999999"/>
    <n v="0"/>
    <n v="0.155"/>
    <n v="0"/>
    <n v="0.15859999999999999"/>
    <s v="No"/>
    <s v="Concurrent, AI, HAI = B, Noise = 170"/>
    <m/>
  </r>
  <r>
    <x v="8"/>
    <n v="69"/>
    <n v="2"/>
    <n v="2"/>
    <n v="1"/>
    <n v="69.2"/>
    <s v="69.2.2.1"/>
    <x v="8"/>
    <s v="Chen, Valerie; Liao, Q. Vera; Vaughan, Jennifer Wortman; Bansal, Gagan"/>
    <n v="2023"/>
    <s v="Business"/>
    <s v="CSCW 2023"/>
    <s v="Within-Subjects"/>
    <s v="Dependent Samples"/>
    <s v="Predict a person's profession"/>
    <s v="Categoric, Numeric"/>
    <s v="Multiple"/>
    <s v="Yes"/>
    <s v="No"/>
    <s v="No"/>
    <s v="Yes"/>
    <s v="No"/>
    <s v="No"/>
    <s v="Categoric"/>
    <s v="Categoric"/>
    <s v="Decide"/>
    <s v="Shallow"/>
    <s v="Categoric, Numeric"/>
    <s v="Categorical"/>
    <s v="Shallow"/>
    <s v="Human"/>
    <s v="No"/>
    <s v="HAI = Example-Based"/>
    <s v="Yes"/>
    <s v="No"/>
    <s v="Image, Numeric, Text"/>
    <s v="Accuracy"/>
    <s v="Accuracy"/>
    <s v="Up"/>
    <n v="13"/>
    <n v="13"/>
    <n v="13"/>
    <s v="Volunteers"/>
    <s v="Volunteers"/>
    <s v="Email, Twitter"/>
    <s v="No"/>
    <s v="No"/>
    <n v="0.6"/>
    <n v="0.625"/>
    <n v="0.71199999999999997"/>
    <n v="0.6"/>
    <n v="0.625"/>
    <n v="0.71199999999999997"/>
    <s v="AI"/>
    <n v="0.625"/>
    <n v="0.6"/>
    <n v="1"/>
    <n v="0.15859999999999999"/>
    <n v="0"/>
    <n v="0.16589999999999999"/>
    <n v="0"/>
    <n v="0.15859999999999999"/>
    <s v="No"/>
    <s v="Concurrent, AI, HAI = C, Noise = 0"/>
    <m/>
  </r>
  <r>
    <x v="9"/>
    <n v="72"/>
    <n v="1"/>
    <n v="1"/>
    <n v="1"/>
    <n v="72.099999999999994"/>
    <s v="72.1.1.1"/>
    <x v="9"/>
    <s v="Elder, Hannah; Canfield, Casey; Shank, Daniel B.; Rieger, Tobias; Hines, Casey"/>
    <n v="2022"/>
    <s v="Business"/>
    <s v="Human Factors"/>
    <s v="Between-Subjects"/>
    <s v="Independent Samples"/>
    <s v="Predict basketball games"/>
    <s v="Numeric"/>
    <s v="Numeric"/>
    <s v="No"/>
    <s v="No"/>
    <s v="No"/>
    <s v="Yes"/>
    <s v="No"/>
    <s v="No"/>
    <s v="Binary"/>
    <s v="Binary"/>
    <s v="Decide"/>
    <s v="Wizard of Oz"/>
    <s v="Numeric"/>
    <s v="Binary"/>
    <s v="Wizard of Oz"/>
    <s v="Human"/>
    <s v="No"/>
    <s v="Low Acc"/>
    <s v="No"/>
    <s v="No"/>
    <m/>
    <s v="Accuracy"/>
    <s v="Accuracy"/>
    <s v="Up"/>
    <n v="245"/>
    <n v="81"/>
    <n v="82"/>
    <s v="Crowdworkers"/>
    <s v="Crowdworkers"/>
    <s v="Prolific"/>
    <s v="No"/>
    <s v="Yes"/>
    <n v="0.52"/>
    <n v="0.6"/>
    <n v="0.56999999999999995"/>
    <n v="0.52"/>
    <n v="0.6"/>
    <n v="0.56999999999999995"/>
    <s v="AI"/>
    <n v="0.6"/>
    <n v="0.52"/>
    <n v="0"/>
    <n v="0.09"/>
    <n v="0"/>
    <n v="0.1"/>
    <n v="0"/>
    <n v="0.09"/>
    <s v="No"/>
    <m/>
    <m/>
  </r>
  <r>
    <x v="9"/>
    <n v="72"/>
    <n v="1"/>
    <n v="1"/>
    <n v="2"/>
    <n v="72.099999999999994"/>
    <s v="72.1.1.2"/>
    <x v="9"/>
    <s v="Elder, Hannah; Canfield, Casey; Shank, Daniel B.; Rieger, Tobias; Hines, Casey"/>
    <n v="2022"/>
    <s v="Business"/>
    <s v="Human Factors"/>
    <s v="Between-Subjects"/>
    <s v="Independent Samples"/>
    <s v="Predict basketball games"/>
    <s v="Numeric"/>
    <s v="Numeric"/>
    <s v="No"/>
    <s v="No"/>
    <s v="No"/>
    <s v="Yes"/>
    <s v="No"/>
    <s v="No"/>
    <s v="Binary"/>
    <s v="Binary"/>
    <s v="Decide"/>
    <s v="Wizard of Oz"/>
    <s v="Numeric"/>
    <s v="Binary"/>
    <s v="Wizard of Oz"/>
    <s v="Human"/>
    <s v="No"/>
    <s v="Low Acc"/>
    <s v="No"/>
    <s v="No"/>
    <m/>
    <s v="Sensitivity (d')"/>
    <s v="Error Rate"/>
    <s v="Up"/>
    <n v="245"/>
    <n v="81"/>
    <n v="82"/>
    <s v="Crowdworkers"/>
    <s v="Crowdworkers"/>
    <s v="Prolific"/>
    <s v="No"/>
    <s v="Yes"/>
    <n v="-0.08"/>
    <n v="0.76"/>
    <n v="0.22"/>
    <n v="-0.08"/>
    <n v="0.76"/>
    <n v="0.22"/>
    <s v="AI"/>
    <n v="0.76"/>
    <n v="-0.08"/>
    <n v="0"/>
    <n v="0.5"/>
    <n v="0"/>
    <n v="0.59"/>
    <n v="0"/>
    <n v="0.5"/>
    <s v="No"/>
    <m/>
    <m/>
  </r>
  <r>
    <x v="9"/>
    <n v="72"/>
    <n v="1"/>
    <n v="1"/>
    <n v="3"/>
    <n v="72.099999999999994"/>
    <s v="72.1.1.3"/>
    <x v="9"/>
    <s v="Elder, Hannah; Canfield, Casey; Shank, Daniel B.; Rieger, Tobias; Hines, Casey"/>
    <n v="2022"/>
    <s v="Business"/>
    <s v="Human Factors"/>
    <s v="Between-Subjects"/>
    <s v="Independent Samples"/>
    <s v="Predict basketball games"/>
    <s v="Numeric"/>
    <s v="Numeric"/>
    <s v="No"/>
    <s v="No"/>
    <s v="No"/>
    <s v="Yes"/>
    <s v="No"/>
    <s v="No"/>
    <s v="Binary"/>
    <s v="Binary"/>
    <s v="Decide"/>
    <s v="Wizard of Oz"/>
    <s v="Numeric"/>
    <s v="Binary"/>
    <s v="Wizard of Oz"/>
    <s v="Human"/>
    <s v="No"/>
    <s v="Low Acc"/>
    <s v="No"/>
    <s v="No"/>
    <m/>
    <s v="Response Bias"/>
    <s v="Error Rate"/>
    <s v="Down"/>
    <n v="245"/>
    <n v="81"/>
    <n v="82"/>
    <s v="Crowdworkers"/>
    <s v="Crowdworkers"/>
    <s v="Prolific"/>
    <s v="No"/>
    <s v="Yes"/>
    <n v="0.33"/>
    <n v="0.9"/>
    <n v="0.41"/>
    <n v="0.33"/>
    <n v="0.9"/>
    <n v="0.41"/>
    <s v="AI"/>
    <n v="0.9"/>
    <n v="0.33"/>
    <n v="0"/>
    <n v="0.44"/>
    <n v="0"/>
    <n v="0.49"/>
    <n v="0"/>
    <n v="0.44"/>
    <s v="No"/>
    <m/>
    <m/>
  </r>
  <r>
    <x v="9"/>
    <n v="72"/>
    <n v="1"/>
    <n v="2"/>
    <n v="1"/>
    <n v="72.099999999999994"/>
    <s v="72.1.2.1"/>
    <x v="9"/>
    <s v="Elder, Hannah; Canfield, Casey; Shank, Daniel B.; Rieger, Tobias; Hines, Casey"/>
    <n v="2022"/>
    <s v="Business"/>
    <s v="Human Factors"/>
    <s v="Between-Subjects"/>
    <s v="Independent Samples"/>
    <s v="Predict basketball games"/>
    <s v="Numeric"/>
    <s v="Numeric"/>
    <s v="No"/>
    <s v="No"/>
    <s v="No"/>
    <s v="Yes"/>
    <s v="No"/>
    <s v="No"/>
    <s v="Binary"/>
    <s v="Binary"/>
    <s v="Decide"/>
    <s v="Wizard of Oz"/>
    <s v="Numeric"/>
    <s v="Binary"/>
    <s v="Wizard of Oz"/>
    <s v="Human"/>
    <s v="No"/>
    <s v="High Acc"/>
    <s v="No"/>
    <s v="No"/>
    <m/>
    <s v="Accuracy"/>
    <s v="Accuracy"/>
    <s v="Up"/>
    <n v="245"/>
    <n v="81"/>
    <n v="82"/>
    <s v="Crowdworkers"/>
    <s v="Crowdworkers"/>
    <s v="Prolific"/>
    <s v="No"/>
    <s v="Yes"/>
    <n v="0.52"/>
    <n v="0.85"/>
    <n v="0.68"/>
    <n v="0.52"/>
    <n v="0.85"/>
    <n v="0.68"/>
    <s v="AI"/>
    <n v="0.85"/>
    <n v="0.52"/>
    <n v="0"/>
    <n v="0.09"/>
    <n v="0"/>
    <n v="0.12"/>
    <n v="0"/>
    <n v="0.09"/>
    <s v="No"/>
    <m/>
    <m/>
  </r>
  <r>
    <x v="9"/>
    <n v="72"/>
    <n v="1"/>
    <n v="2"/>
    <n v="2"/>
    <n v="72.099999999999994"/>
    <s v="72.1.2.2"/>
    <x v="9"/>
    <s v="Elder, Hannah; Canfield, Casey; Shank, Daniel B.; Rieger, Tobias; Hines, Casey"/>
    <n v="2022"/>
    <s v="Business"/>
    <s v="Human Factors"/>
    <s v="Between-Subjects"/>
    <s v="Independent Samples"/>
    <s v="Predict basketball games"/>
    <s v="Numeric"/>
    <s v="Numeric"/>
    <s v="No"/>
    <s v="No"/>
    <s v="No"/>
    <s v="Yes"/>
    <s v="No"/>
    <s v="No"/>
    <s v="Binary"/>
    <s v="Binary"/>
    <s v="Decide"/>
    <s v="Wizard of Oz"/>
    <s v="Numeric"/>
    <s v="Binary"/>
    <s v="Wizard of Oz"/>
    <s v="Human"/>
    <s v="No"/>
    <s v="High Acc"/>
    <s v="No"/>
    <s v="No"/>
    <m/>
    <s v="Sensitivity (d')"/>
    <s v="Error Rate"/>
    <s v="Up"/>
    <n v="245"/>
    <n v="81"/>
    <n v="82"/>
    <s v="Crowdworkers"/>
    <s v="Crowdworkers"/>
    <s v="Prolific"/>
    <s v="No"/>
    <s v="Yes"/>
    <n v="-0.08"/>
    <n v="2.12"/>
    <n v="0.83"/>
    <n v="-0.08"/>
    <n v="2.12"/>
    <n v="0.83"/>
    <s v="AI"/>
    <n v="2.12"/>
    <n v="-0.08"/>
    <n v="0"/>
    <n v="0.5"/>
    <n v="0"/>
    <n v="0.68"/>
    <n v="0"/>
    <n v="0.5"/>
    <s v="No"/>
    <m/>
    <m/>
  </r>
  <r>
    <x v="9"/>
    <n v="72"/>
    <n v="1"/>
    <n v="2"/>
    <n v="3"/>
    <n v="72.099999999999994"/>
    <s v="72.1.2.3"/>
    <x v="9"/>
    <s v="Elder, Hannah; Canfield, Casey; Shank, Daniel B.; Rieger, Tobias; Hines, Casey"/>
    <n v="2022"/>
    <s v="Business"/>
    <s v="Human Factors"/>
    <s v="Between-Subjects"/>
    <s v="Independent Samples"/>
    <s v="Predict basketball games"/>
    <s v="Numeric"/>
    <s v="Numeric"/>
    <s v="No"/>
    <s v="No"/>
    <s v="No"/>
    <s v="Yes"/>
    <s v="No"/>
    <s v="No"/>
    <s v="Binary"/>
    <s v="Binary"/>
    <s v="Decide"/>
    <s v="Wizard of Oz"/>
    <s v="Numeric"/>
    <s v="Binary"/>
    <s v="Wizard of Oz"/>
    <s v="Human"/>
    <s v="No"/>
    <s v="High Acc"/>
    <s v="No"/>
    <s v="No"/>
    <m/>
    <s v="Response Bias"/>
    <s v="Error Rate"/>
    <s v="Down"/>
    <n v="245"/>
    <n v="81"/>
    <n v="82"/>
    <s v="Crowdworkers"/>
    <s v="Crowdworkers"/>
    <s v="Prolific"/>
    <s v="No"/>
    <s v="Yes"/>
    <n v="0.33"/>
    <n v="0.22"/>
    <n v="0.2"/>
    <n v="0.33"/>
    <n v="0.22"/>
    <n v="0.2"/>
    <s v="Human"/>
    <n v="0.33"/>
    <n v="0.22"/>
    <n v="0"/>
    <n v="0.44"/>
    <n v="0"/>
    <n v="0.41"/>
    <n v="0.44"/>
    <n v="0"/>
    <s v="No"/>
    <m/>
    <m/>
  </r>
  <r>
    <x v="10"/>
    <n v="74"/>
    <n v="1"/>
    <n v="1"/>
    <n v="1"/>
    <n v="74.099999999999994"/>
    <s v="74.1.1.1"/>
    <x v="10"/>
    <s v="Bondi, Elizabeth; Koster, Raphael; Sheahan, Hannah; Chadwick, Martin; Bachrach, Yoram; Cemgil, Taylan; Paquet, Ulrich; Dvijotham, Krishnamurthy"/>
    <n v="2022"/>
    <s v="Business"/>
    <s v="Proceedings of the AAAI Conference on Artificial Intelligence"/>
    <s v="Within-Subjects"/>
    <s v="Dependent Samples"/>
    <s v="Detect animal in image"/>
    <s v="Image"/>
    <s v="Image"/>
    <s v="No"/>
    <s v="No"/>
    <s v="Yes"/>
    <s v="No"/>
    <s v="No"/>
    <s v="No"/>
    <s v="Binary"/>
    <s v="Binary"/>
    <s v="Decide"/>
    <s v="Deep"/>
    <s v="Image"/>
    <s v="Binary"/>
    <s v="Deep"/>
    <s v="Human"/>
    <s v="No"/>
    <s v="H = NM, HAI = DO"/>
    <s v="No"/>
    <s v="No"/>
    <m/>
    <s v="Accuracy"/>
    <s v="Accuracy"/>
    <s v="Up"/>
    <n v="198"/>
    <n v="198"/>
    <n v="198"/>
    <s v="Crowdworkers"/>
    <s v="Crowdworkers"/>
    <s v="Prolific"/>
    <s v="No"/>
    <s v="Yes"/>
    <n v="0.58479999999999999"/>
    <n v="0.5"/>
    <n v="0.61970000000000003"/>
    <n v="0.58479999999999999"/>
    <n v="0.5"/>
    <n v="0.61970000000000003"/>
    <s v="Human"/>
    <n v="0.58479999999999999"/>
    <n v="0.5"/>
    <n v="1"/>
    <n v="0.11269999999999999"/>
    <n v="0"/>
    <n v="0.10879999999999999"/>
    <n v="0.112693054"/>
    <n v="0"/>
    <s v="No"/>
    <m/>
    <m/>
  </r>
  <r>
    <x v="10"/>
    <n v="74"/>
    <n v="1"/>
    <n v="2"/>
    <n v="1"/>
    <n v="74.099999999999994"/>
    <s v="74.1.2.1"/>
    <x v="10"/>
    <s v="Bondi, Elizabeth; Koster, Raphael; Sheahan, Hannah; Chadwick, Martin; Bachrach, Yoram; Cemgil, Taylan; Paquet, Ulrich; Dvijotham, Krishnamurthy"/>
    <n v="2022"/>
    <s v="Business"/>
    <s v="Proceedings of the AAAI Conference on Artificial Intelligence"/>
    <s v="Within-Subjects"/>
    <s v="Dependent Samples"/>
    <s v="Detect animal in image"/>
    <s v="Image"/>
    <s v="Image"/>
    <s v="No"/>
    <s v="No"/>
    <s v="Yes"/>
    <s v="No"/>
    <s v="No"/>
    <s v="No"/>
    <s v="Binary"/>
    <s v="Binary"/>
    <s v="Decide"/>
    <s v="Deep"/>
    <s v="Image"/>
    <s v="Binary"/>
    <s v="Deep"/>
    <s v="Human"/>
    <s v="No"/>
    <s v="H = NM, HAI = PO"/>
    <s v="No"/>
    <s v="No"/>
    <m/>
    <s v="Accuracy"/>
    <s v="Accuracy"/>
    <s v="Up"/>
    <n v="198"/>
    <n v="198"/>
    <n v="198"/>
    <s v="Crowdworkers"/>
    <s v="Crowdworkers"/>
    <s v="Prolific"/>
    <s v="No"/>
    <s v="Yes"/>
    <n v="0.58479999999999999"/>
    <n v="0.5"/>
    <n v="0.56689999999999996"/>
    <n v="0.58479999999999999"/>
    <n v="0.5"/>
    <n v="0.56689999999999996"/>
    <s v="Human"/>
    <n v="0.58479999999999999"/>
    <n v="0.5"/>
    <n v="0"/>
    <n v="0.11269999999999999"/>
    <n v="0"/>
    <n v="8.7800000000000003E-2"/>
    <n v="0.112693054"/>
    <n v="0"/>
    <s v="No"/>
    <m/>
    <m/>
  </r>
  <r>
    <x v="10"/>
    <n v="74"/>
    <n v="1"/>
    <n v="3"/>
    <n v="1"/>
    <n v="74.099999999999994"/>
    <s v="74.1.3.1"/>
    <x v="10"/>
    <s v="Bondi, Elizabeth; Koster, Raphael; Sheahan, Hannah; Chadwick, Martin; Bachrach, Yoram; Cemgil, Taylan; Paquet, Ulrich; Dvijotham, Krishnamurthy"/>
    <n v="2022"/>
    <s v="Business"/>
    <s v="Proceedings of the AAAI Conference on Artificial Intelligence"/>
    <s v="Within-Subjects"/>
    <s v="Dependent Samples"/>
    <s v="Detect animal in image"/>
    <s v="Image"/>
    <s v="Image"/>
    <s v="No"/>
    <s v="No"/>
    <s v="Yes"/>
    <s v="No"/>
    <s v="No"/>
    <s v="No"/>
    <s v="Binary"/>
    <s v="Binary"/>
    <s v="Decide"/>
    <s v="Deep"/>
    <s v="Image"/>
    <s v="Binary"/>
    <s v="Deep"/>
    <s v="Human"/>
    <s v="No"/>
    <s v="H = NM, HAI = BM"/>
    <s v="No"/>
    <s v="No"/>
    <m/>
    <s v="Accuracy"/>
    <s v="Accuracy"/>
    <s v="Up"/>
    <n v="198"/>
    <n v="198"/>
    <n v="198"/>
    <s v="Crowdworkers"/>
    <s v="Crowdworkers"/>
    <s v="Prolific"/>
    <s v="No"/>
    <s v="Yes"/>
    <n v="0.58479999999999999"/>
    <n v="0.5"/>
    <n v="0.58989999999999998"/>
    <n v="0.58479999999999999"/>
    <n v="0.5"/>
    <n v="0.58989999999999998"/>
    <s v="Human"/>
    <n v="0.58479999999999999"/>
    <n v="0.5"/>
    <n v="1"/>
    <n v="0.11269999999999999"/>
    <n v="0"/>
    <n v="0.12939999999999999"/>
    <n v="0.112693054"/>
    <n v="0"/>
    <s v="No"/>
    <m/>
    <m/>
  </r>
  <r>
    <x v="11"/>
    <n v="84"/>
    <n v="4"/>
    <n v="1"/>
    <n v="1"/>
    <n v="4.0999999999999996"/>
    <s v="Lu_Peng_2024_1"/>
    <x v="11"/>
    <s v="Lu Peng, Xiangbin Yan, Yunan Hu, Xin Luo"/>
    <n v="2024"/>
    <s v="Business"/>
    <s v="Decision Support Systems"/>
    <s v="Between-Subjects"/>
    <s v="Dependent Samples"/>
    <s v="Decision-making accuracy in an AI-assisted decision support system"/>
    <s v="Text"/>
    <s v="Image"/>
    <s v="No"/>
    <s v="No"/>
    <s v="No"/>
    <s v="Yes"/>
    <s v="Yes"/>
    <s v="No"/>
    <s v="Categoric"/>
    <s v="Categoric"/>
    <s v="Decide"/>
    <s v="Deep"/>
    <s v="Continuous"/>
    <s v="Continuous"/>
    <s v="Deep"/>
    <s v="Human"/>
    <s v="No"/>
    <s v="Human alone, AI alone, Human-AI collaboration"/>
    <s v="Yes"/>
    <s v="Yes"/>
    <s v="Text-based decision rationale"/>
    <s v="Accuracy"/>
    <s v="Accuracy"/>
    <s v="Up"/>
    <n v="4"/>
    <n v="320"/>
    <n v="320"/>
    <s v="Crowdworkers"/>
    <s v="Crowdworkers"/>
    <s v="Prolific"/>
    <s v="No"/>
    <s v="Yes"/>
    <n v="0.54200000000000004"/>
    <n v="0.8"/>
    <n v="0.66800000000000004"/>
    <n v="0.54200000000000004"/>
    <n v="0.8"/>
    <n v="0.66800000000000004"/>
    <s v="AI"/>
    <n v="0.8"/>
    <n v="0.54200000000000004"/>
    <n v="0"/>
    <n v="0.19"/>
    <n v="0"/>
    <n v="0.13"/>
    <n v="0"/>
    <n v="0.19"/>
    <s v="Yes"/>
    <s v="Performance measured as accuracy in AI-assisted decision support tasks"/>
    <s v="Human-AI collaboration improved accuracy but did not exceed AI baseline"/>
  </r>
  <r>
    <x v="12"/>
    <n v="43"/>
    <n v="1"/>
    <n v="1"/>
    <n v="1"/>
    <n v="43.1"/>
    <s v="43.1.1.1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Pred + no exp"/>
    <s v="No"/>
    <s v="No"/>
    <m/>
    <s v="Accuracy"/>
    <s v="Accuracy"/>
    <s v="Up"/>
    <n v="480"/>
    <n v="80"/>
    <n v="80"/>
    <s v="Crowdworkers"/>
    <s v="Crowdworkers"/>
    <s v="MTurk"/>
    <s v="No"/>
    <s v="Yes"/>
    <n v="0.54400000000000004"/>
    <n v="0.375"/>
    <n v="0.52500000000000002"/>
    <n v="0.54400000000000004"/>
    <n v="0.375"/>
    <n v="0.52500000000000002"/>
    <s v="Human"/>
    <n v="0.54400000000000004"/>
    <n v="0.375"/>
    <n v="0"/>
    <n v="0.115"/>
    <n v="0"/>
    <n v="0.1018"/>
    <n v="0.115"/>
    <n v="0"/>
    <s v="Yes"/>
    <s v="HAI = Pred + full exp"/>
    <m/>
  </r>
  <r>
    <x v="12"/>
    <n v="43"/>
    <n v="1"/>
    <n v="1"/>
    <n v="2"/>
    <n v="43.1"/>
    <s v="43.1.1.2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Pred + no exp"/>
    <s v="No"/>
    <s v="No"/>
    <m/>
    <s v="FNR"/>
    <s v="Error Rate"/>
    <s v="Down"/>
    <n v="480"/>
    <n v="80"/>
    <n v="80"/>
    <s v="Crowdworkers"/>
    <s v="Crowdworkers"/>
    <s v="MTurk"/>
    <s v="No"/>
    <s v="Yes"/>
    <n v="0.27600000000000002"/>
    <n v="0.39600000000000002"/>
    <n v="0.315"/>
    <n v="-0.27600000000000002"/>
    <n v="-0.39600000000000002"/>
    <n v="-0.315"/>
    <s v="Human"/>
    <n v="-0.27600000000000002"/>
    <n v="-0.39600000000000002"/>
    <n v="0"/>
    <n v="0.122"/>
    <n v="0"/>
    <n v="0.10150000000000001"/>
    <n v="0.122"/>
    <n v="0"/>
    <s v="Yes"/>
    <s v="HAI = Pred + partial exp"/>
    <m/>
  </r>
  <r>
    <x v="12"/>
    <n v="43"/>
    <n v="1"/>
    <n v="1"/>
    <n v="3"/>
    <n v="43.1"/>
    <s v="43.1.1.3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Pred + no exp"/>
    <s v="No"/>
    <s v="No"/>
    <m/>
    <s v="FPR"/>
    <s v="Error Rate"/>
    <s v="Down"/>
    <n v="480"/>
    <n v="80"/>
    <n v="80"/>
    <s v="Crowdworkers"/>
    <s v="Crowdworkers"/>
    <s v="MTurk"/>
    <s v="No"/>
    <s v="Yes"/>
    <n v="0.17899999999999999"/>
    <n v="0.22900000000000001"/>
    <n v="0.16"/>
    <n v="-0.17899999999999999"/>
    <n v="-0.22900000000000001"/>
    <n v="-0.16"/>
    <s v="Human"/>
    <n v="-0.17899999999999999"/>
    <n v="-0.22900000000000001"/>
    <n v="1"/>
    <n v="9.6000000000000002E-2"/>
    <n v="0"/>
    <n v="7.0999999999999994E-2"/>
    <n v="9.6000000000000002E-2"/>
    <n v="0"/>
    <s v="Yes"/>
    <s v="HAI = keyword exp"/>
    <m/>
  </r>
  <r>
    <x v="12"/>
    <n v="43"/>
    <n v="1"/>
    <n v="2"/>
    <n v="1"/>
    <n v="43.1"/>
    <s v="43.1.2.1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Pred + full exp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400000000000004"/>
    <n v="0.375"/>
    <n v="0.52400000000000002"/>
    <n v="0.54400000000000004"/>
    <n v="0.375"/>
    <n v="0.52400000000000002"/>
    <s v="Human"/>
    <n v="0.54400000000000004"/>
    <n v="0.375"/>
    <n v="0"/>
    <n v="0.115"/>
    <n v="0"/>
    <n v="9.3100000000000002E-2"/>
    <n v="0.115"/>
    <n v="0"/>
    <s v="Yes"/>
    <s v="HAI = No pred + full exp"/>
    <m/>
  </r>
  <r>
    <x v="12"/>
    <n v="43"/>
    <n v="1"/>
    <n v="2"/>
    <n v="2"/>
    <n v="43.1"/>
    <s v="43.1.2.2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Pred + full exp"/>
    <s v="Yes"/>
    <s v="No"/>
    <s v="Image, Text"/>
    <s v="FNR"/>
    <s v="Error Rate"/>
    <s v="Down"/>
    <n v="480"/>
    <n v="80"/>
    <n v="80"/>
    <s v="Crowdworkers"/>
    <s v="Crowdworkers"/>
    <s v="MTurk"/>
    <s v="No"/>
    <s v="Yes"/>
    <n v="0.27600000000000002"/>
    <n v="0.39600000000000002"/>
    <n v="0.33700000000000002"/>
    <n v="-0.27600000000000002"/>
    <n v="-0.39600000000000002"/>
    <n v="-0.33700000000000002"/>
    <s v="Human"/>
    <n v="-0.27600000000000002"/>
    <n v="-0.39600000000000002"/>
    <n v="0"/>
    <n v="0.122"/>
    <n v="0"/>
    <n v="0.1"/>
    <n v="0.122"/>
    <n v="0"/>
    <s v="Yes"/>
    <s v="H = traditional, AI = Non-Interactive RB1, HAI = Interactive RB 10"/>
    <m/>
  </r>
  <r>
    <x v="12"/>
    <n v="43"/>
    <n v="1"/>
    <n v="2"/>
    <n v="3"/>
    <n v="43.1"/>
    <s v="43.1.2.3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Pred + full exp"/>
    <s v="Yes"/>
    <s v="No"/>
    <s v="Image, Text"/>
    <s v="FPR"/>
    <s v="Error Rate"/>
    <s v="Down"/>
    <n v="480"/>
    <n v="80"/>
    <n v="80"/>
    <s v="Crowdworkers"/>
    <s v="Crowdworkers"/>
    <s v="MTurk"/>
    <s v="No"/>
    <s v="Yes"/>
    <n v="0.17899999999999999"/>
    <n v="0.22900000000000001"/>
    <n v="0.13900000000000001"/>
    <n v="-0.17899999999999999"/>
    <n v="-0.22900000000000001"/>
    <n v="-0.13900000000000001"/>
    <s v="Human"/>
    <n v="-0.17899999999999999"/>
    <n v="-0.22900000000000001"/>
    <n v="1"/>
    <n v="9.6000000000000002E-2"/>
    <n v="0"/>
    <n v="9.5799999999999996E-2"/>
    <n v="9.6000000000000002E-2"/>
    <n v="0"/>
    <s v="Yes"/>
    <s v="H = traditional, AI = Non-Interactive HM1, HAI = Interactive HM 10"/>
    <m/>
  </r>
  <r>
    <x v="12"/>
    <n v="43"/>
    <n v="1"/>
    <n v="3"/>
    <n v="1"/>
    <n v="43.1"/>
    <s v="43.1.3.1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Pred + partial exp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400000000000004"/>
    <n v="0.375"/>
    <n v="0.52600000000000002"/>
    <n v="0.54400000000000004"/>
    <n v="0.375"/>
    <n v="0.52600000000000002"/>
    <s v="Human"/>
    <n v="0.54400000000000004"/>
    <n v="0.375"/>
    <n v="0"/>
    <n v="0.115"/>
    <n v="0"/>
    <n v="0.1079"/>
    <n v="0.115"/>
    <n v="0"/>
    <s v="Yes"/>
    <s v="Image; HAI = grid"/>
    <m/>
  </r>
  <r>
    <x v="12"/>
    <n v="43"/>
    <n v="1"/>
    <n v="3"/>
    <n v="2"/>
    <n v="43.1"/>
    <s v="43.1.3.2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Pred + partial exp"/>
    <s v="Yes"/>
    <s v="No"/>
    <s v="Image, Text"/>
    <s v="FNR"/>
    <s v="Error Rate"/>
    <s v="Down"/>
    <n v="480"/>
    <n v="80"/>
    <n v="80"/>
    <s v="Crowdworkers"/>
    <s v="Crowdworkers"/>
    <s v="MTurk"/>
    <s v="No"/>
    <s v="Yes"/>
    <n v="0.27600000000000002"/>
    <n v="0.39600000000000002"/>
    <n v="0.35699999999999998"/>
    <n v="-0.27600000000000002"/>
    <n v="-0.39600000000000002"/>
    <n v="-0.35699999999999998"/>
    <s v="Human"/>
    <n v="-0.27600000000000002"/>
    <n v="-0.39600000000000002"/>
    <n v="0"/>
    <n v="0.122"/>
    <n v="0"/>
    <n v="0.1177"/>
    <n v="0.122"/>
    <n v="0"/>
    <s v="Yes"/>
    <s v="Image; HAI = tree"/>
    <m/>
  </r>
  <r>
    <x v="12"/>
    <n v="43"/>
    <n v="1"/>
    <n v="3"/>
    <n v="3"/>
    <n v="43.1"/>
    <s v="43.1.3.3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Pred + partial exp"/>
    <s v="Yes"/>
    <s v="No"/>
    <s v="Image, Text"/>
    <s v="FPR"/>
    <s v="Error Rate"/>
    <s v="Down"/>
    <n v="480"/>
    <n v="80"/>
    <n v="80"/>
    <s v="Crowdworkers"/>
    <s v="Crowdworkers"/>
    <s v="MTurk"/>
    <s v="No"/>
    <s v="Yes"/>
    <n v="0.17899999999999999"/>
    <n v="0.22900000000000001"/>
    <n v="0.11600000000000001"/>
    <n v="-0.17899999999999999"/>
    <n v="-0.22900000000000001"/>
    <n v="-0.11600000000000001"/>
    <s v="Human"/>
    <n v="-0.17899999999999999"/>
    <n v="-0.22900000000000001"/>
    <n v="1"/>
    <n v="9.6000000000000002E-2"/>
    <n v="0"/>
    <n v="7.9100000000000004E-2"/>
    <n v="9.6000000000000002E-2"/>
    <n v="0"/>
    <s v="Yes"/>
    <s v="Image; HAI = graph"/>
    <m/>
  </r>
  <r>
    <x v="12"/>
    <n v="43"/>
    <n v="1"/>
    <n v="4"/>
    <n v="1"/>
    <n v="43.1"/>
    <s v="43.1.4.1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keyword exp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400000000000004"/>
    <n v="0.375"/>
    <n v="0.51800000000000002"/>
    <n v="0.54400000000000004"/>
    <n v="0.375"/>
    <n v="0.51800000000000002"/>
    <s v="Human"/>
    <n v="0.54400000000000004"/>
    <n v="0.375"/>
    <n v="0"/>
    <n v="0.115"/>
    <n v="0"/>
    <n v="0.1065"/>
    <n v="0.115"/>
    <n v="0"/>
    <s v="Yes"/>
    <s v="Roses; HAI = grid"/>
    <m/>
  </r>
  <r>
    <x v="12"/>
    <n v="43"/>
    <n v="1"/>
    <n v="4"/>
    <n v="2"/>
    <n v="43.1"/>
    <s v="43.1.4.2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keyword exp"/>
    <s v="Yes"/>
    <s v="No"/>
    <s v="Image, Text"/>
    <s v="FNR"/>
    <s v="Error Rate"/>
    <s v="Down"/>
    <n v="480"/>
    <n v="80"/>
    <n v="80"/>
    <s v="Crowdworkers"/>
    <s v="Crowdworkers"/>
    <s v="MTurk"/>
    <s v="No"/>
    <s v="Yes"/>
    <n v="0.27600000000000002"/>
    <n v="0.39600000000000002"/>
    <n v="0.34599999999999997"/>
    <n v="-0.27600000000000002"/>
    <n v="-0.39600000000000002"/>
    <n v="-0.34599999999999997"/>
    <s v="Human"/>
    <n v="-0.27600000000000002"/>
    <n v="-0.39600000000000002"/>
    <n v="0"/>
    <n v="0.122"/>
    <n v="0"/>
    <n v="0.1164"/>
    <n v="0.122"/>
    <n v="0"/>
    <s v="Yes"/>
    <s v="Roses; HAI = tree"/>
    <m/>
  </r>
  <r>
    <x v="12"/>
    <n v="43"/>
    <n v="1"/>
    <n v="4"/>
    <n v="3"/>
    <n v="43.1"/>
    <s v="43.1.4.3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keyword exp"/>
    <s v="Yes"/>
    <s v="No"/>
    <s v="Image, Text"/>
    <s v="FPR"/>
    <s v="Error Rate"/>
    <s v="Down"/>
    <n v="480"/>
    <n v="80"/>
    <n v="80"/>
    <s v="Crowdworkers"/>
    <s v="Crowdworkers"/>
    <s v="MTurk"/>
    <s v="No"/>
    <s v="Yes"/>
    <n v="0.17899999999999999"/>
    <n v="0.22900000000000001"/>
    <n v="0.13500000000000001"/>
    <n v="-0.17899999999999999"/>
    <n v="-0.22900000000000001"/>
    <n v="-0.13500000000000001"/>
    <s v="Human"/>
    <n v="-0.17899999999999999"/>
    <n v="-0.22900000000000001"/>
    <n v="1"/>
    <n v="9.6000000000000002E-2"/>
    <n v="0"/>
    <n v="9.3799999999999994E-2"/>
    <n v="9.6000000000000002E-2"/>
    <n v="0"/>
    <s v="Yes"/>
    <s v="Roses; HAI = graph"/>
    <m/>
  </r>
  <r>
    <x v="12"/>
    <n v="43"/>
    <n v="1"/>
    <n v="5"/>
    <n v="1"/>
    <n v="43.1"/>
    <s v="43.1.5.1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No pred + full exp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400000000000004"/>
    <n v="0.375"/>
    <n v="0.51400000000000001"/>
    <n v="0.54400000000000004"/>
    <n v="0.375"/>
    <n v="0.51400000000000001"/>
    <s v="Human"/>
    <n v="0.54400000000000004"/>
    <n v="0.375"/>
    <n v="0"/>
    <n v="0.115"/>
    <n v="0"/>
    <n v="0.11600000000000001"/>
    <n v="0.115"/>
    <n v="0"/>
    <s v="Yes"/>
    <s v="Non-anchor"/>
    <m/>
  </r>
  <r>
    <x v="12"/>
    <n v="43"/>
    <n v="1"/>
    <n v="5"/>
    <n v="2"/>
    <n v="43.1"/>
    <s v="43.1.5.2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No pred + full exp"/>
    <s v="Yes"/>
    <s v="No"/>
    <s v="Image, Text"/>
    <s v="FNR"/>
    <s v="Error Rate"/>
    <s v="Down"/>
    <n v="480"/>
    <n v="80"/>
    <n v="80"/>
    <s v="Crowdworkers"/>
    <s v="Crowdworkers"/>
    <s v="MTurk"/>
    <s v="No"/>
    <s v="Yes"/>
    <n v="0.27600000000000002"/>
    <n v="0.39600000000000002"/>
    <n v="0.35299999999999998"/>
    <n v="-0.27600000000000002"/>
    <n v="-0.39600000000000002"/>
    <n v="-0.35299999999999998"/>
    <s v="Human"/>
    <n v="-0.27600000000000002"/>
    <n v="-0.39600000000000002"/>
    <n v="0"/>
    <n v="0.122"/>
    <n v="0"/>
    <n v="0.13"/>
    <n v="0.122"/>
    <n v="0"/>
    <s v="Yes"/>
    <s v="Non-anchor"/>
    <m/>
  </r>
  <r>
    <x v="12"/>
    <n v="43"/>
    <n v="1"/>
    <n v="5"/>
    <n v="3"/>
    <n v="43.1"/>
    <s v="43.1.5.3"/>
    <x v="12"/>
    <s v="Carton, Samuel; Mei, Qiaozhu; Resnick, Paul"/>
    <n v="2020"/>
    <s v="Communication"/>
    <s v="Proceedings of the international AAAI conference on web and social media"/>
    <s v="Between-Subjects"/>
    <s v="Independent Samples"/>
    <s v="Classify toxic comments"/>
    <s v="Text"/>
    <s v="Text"/>
    <s v="No"/>
    <s v="No"/>
    <s v="No"/>
    <s v="No"/>
    <s v="Yes"/>
    <s v="No"/>
    <s v="Categoric"/>
    <s v="Categoric"/>
    <s v="Decide"/>
    <s v="Deep"/>
    <s v="Text"/>
    <s v="Categorical"/>
    <s v="Deep"/>
    <s v="Human"/>
    <s v="No"/>
    <s v="HAI = No pred + full exp"/>
    <s v="Yes"/>
    <s v="No"/>
    <s v="Image, Text"/>
    <s v="FPR"/>
    <s v="Error Rate"/>
    <s v="Down"/>
    <n v="480"/>
    <n v="80"/>
    <n v="80"/>
    <s v="Crowdworkers"/>
    <s v="Crowdworkers"/>
    <s v="MTurk"/>
    <s v="No"/>
    <s v="Yes"/>
    <n v="0.17899999999999999"/>
    <n v="0.22900000000000001"/>
    <n v="0.13300000000000001"/>
    <n v="-0.17899999999999999"/>
    <n v="-0.22900000000000001"/>
    <n v="-0.13300000000000001"/>
    <s v="Human"/>
    <n v="-0.17899999999999999"/>
    <n v="-0.22900000000000001"/>
    <n v="1"/>
    <n v="9.6000000000000002E-2"/>
    <n v="0"/>
    <n v="0.10290000000000001"/>
    <n v="9.6000000000000002E-2"/>
    <n v="0"/>
    <s v="Yes"/>
    <s v="Non-anchor"/>
    <m/>
  </r>
  <r>
    <x v="13"/>
    <n v="1"/>
    <n v="1"/>
    <n v="1"/>
    <n v="1"/>
    <n v="1.1000000000000001"/>
    <s v="1.1.1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Guidelines"/>
    <s v="No"/>
    <s v="No"/>
    <m/>
    <s v="Accuracy"/>
    <s v="Accuracy"/>
    <s v="Up"/>
    <n v="480"/>
    <n v="80"/>
    <n v="80"/>
    <s v="Crowdworkers"/>
    <s v="Crowdworkers"/>
    <s v="MTurk"/>
    <s v="No"/>
    <s v="Yes"/>
    <n v="0.54600000000000004"/>
    <n v="0.86299999999999999"/>
    <n v="0.60399999999999998"/>
    <n v="0.54600000000000004"/>
    <n v="0.86299999999999999"/>
    <n v="0.60399999999999998"/>
    <s v="AI"/>
    <n v="0.86299999999999999"/>
    <n v="0.54600000000000004"/>
    <n v="0"/>
    <n v="0.30430000000000001"/>
    <n v="0"/>
    <n v="0.30526768799999998"/>
    <n v="0"/>
    <n v="0.30430000000000001"/>
    <s v="Yes"/>
    <s v="HAI = Guidelines"/>
    <m/>
  </r>
  <r>
    <x v="13"/>
    <n v="1"/>
    <n v="1"/>
    <n v="2"/>
    <n v="1"/>
    <n v="1.1000000000000001"/>
    <s v="1.1.2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Random explanation"/>
    <s v="No"/>
    <s v="No"/>
    <m/>
    <s v="Accuracy"/>
    <s v="Accuracy"/>
    <s v="Up"/>
    <n v="480"/>
    <n v="80"/>
    <n v="80"/>
    <s v="Crowdworkers"/>
    <s v="Crowdworkers"/>
    <s v="MTurk"/>
    <s v="No"/>
    <s v="Yes"/>
    <n v="0.54600000000000004"/>
    <n v="0.86299999999999999"/>
    <n v="0.60899999999999999"/>
    <n v="0.54600000000000004"/>
    <n v="0.86299999999999999"/>
    <n v="0.60899999999999999"/>
    <s v="AI"/>
    <n v="0.86299999999999999"/>
    <n v="0.54600000000000004"/>
    <n v="0"/>
    <n v="0.30430000000000001"/>
    <n v="0"/>
    <n v="0.274096108"/>
    <n v="0"/>
    <n v="0.30430000000000001"/>
    <s v="Yes"/>
    <s v="HAI = Random explanation"/>
    <m/>
  </r>
  <r>
    <x v="13"/>
    <n v="1"/>
    <n v="1"/>
    <n v="3"/>
    <n v="1"/>
    <n v="1.1000000000000001"/>
    <s v="1.1.3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SP-LIME"/>
    <s v="No"/>
    <s v="No"/>
    <m/>
    <s v="Accuracy"/>
    <s v="Accuracy"/>
    <s v="Up"/>
    <n v="480"/>
    <n v="80"/>
    <n v="80"/>
    <s v="Crowdworkers"/>
    <s v="Crowdworkers"/>
    <s v="MTurk"/>
    <s v="No"/>
    <s v="Yes"/>
    <n v="0.54600000000000004"/>
    <n v="0.86299999999999999"/>
    <n v="0.57799999999999996"/>
    <n v="0.54600000000000004"/>
    <n v="0.86299999999999999"/>
    <n v="0.57799999999999996"/>
    <s v="AI"/>
    <n v="0.86299999999999999"/>
    <n v="0.54600000000000004"/>
    <n v="0"/>
    <n v="0.30430000000000001"/>
    <n v="0"/>
    <n v="0.29473176400000001"/>
    <n v="0"/>
    <n v="0.30430000000000001"/>
    <s v="Yes"/>
    <s v="HAI = SP-LIME"/>
    <m/>
  </r>
  <r>
    <x v="13"/>
    <n v="1"/>
    <n v="1"/>
    <n v="4"/>
    <n v="1"/>
    <n v="1.1000000000000001"/>
    <s v="1.1.4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SR"/>
    <s v="No"/>
    <s v="No"/>
    <m/>
    <s v="Accuracy"/>
    <s v="Accuracy"/>
    <s v="Up"/>
    <n v="480"/>
    <n v="80"/>
    <n v="80"/>
    <s v="Crowdworkers"/>
    <s v="Crowdworkers"/>
    <s v="MTurk"/>
    <s v="No"/>
    <s v="Yes"/>
    <n v="0.54600000000000004"/>
    <n v="0.86299999999999999"/>
    <n v="0.57899999999999996"/>
    <n v="0.54600000000000004"/>
    <n v="0.86299999999999999"/>
    <n v="0.57899999999999996"/>
    <s v="AI"/>
    <n v="0.86299999999999999"/>
    <n v="0.54600000000000004"/>
    <n v="0"/>
    <n v="0.30430000000000001"/>
    <n v="0"/>
    <n v="0.24389166700000001"/>
    <n v="0"/>
    <n v="0.30430000000000001"/>
    <s v="Yes"/>
    <s v="HAI = SR"/>
    <m/>
  </r>
  <r>
    <x v="13"/>
    <n v="1"/>
    <n v="1"/>
    <n v="5"/>
    <n v="1"/>
    <n v="1.1000000000000001"/>
    <s v="1.1.5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SR + guidelines"/>
    <s v="No"/>
    <s v="No"/>
    <m/>
    <s v="Accuracy"/>
    <s v="Accuracy"/>
    <s v="Up"/>
    <n v="480"/>
    <n v="80"/>
    <n v="80"/>
    <s v="Crowdworkers"/>
    <s v="Crowdworkers"/>
    <s v="MTurk"/>
    <s v="No"/>
    <s v="Yes"/>
    <n v="0.54600000000000004"/>
    <n v="0.86299999999999999"/>
    <n v="0.59199999999999997"/>
    <n v="0.54600000000000004"/>
    <n v="0.86299999999999999"/>
    <n v="0.59199999999999997"/>
    <s v="AI"/>
    <n v="0.86299999999999999"/>
    <n v="0.54600000000000004"/>
    <n v="0"/>
    <n v="0.30430000000000001"/>
    <n v="0"/>
    <n v="0.27508047400000002"/>
    <n v="0"/>
    <n v="0.30430000000000001"/>
    <s v="Yes"/>
    <s v="HAI = SR + guidelines"/>
    <m/>
  </r>
  <r>
    <x v="13"/>
    <n v="1"/>
    <n v="2"/>
    <n v="1"/>
    <n v="1"/>
    <n v="1.2"/>
    <s v="1.2.1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Unigned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60399999999999998"/>
    <n v="0.86299999999999999"/>
    <n v="0.57799999999999996"/>
    <n v="0.60399999999999998"/>
    <n v="0.86299999999999999"/>
    <n v="0.57799999999999996"/>
    <s v="AI"/>
    <n v="0.86299999999999999"/>
    <n v="0.60399999999999998"/>
    <n v="0"/>
    <n v="0.27560000000000001"/>
    <n v="0"/>
    <n v="0.21768707500000001"/>
    <n v="0"/>
    <n v="0.27560000000000001"/>
    <s v="Yes"/>
    <s v="HAI = Unigned"/>
    <m/>
  </r>
  <r>
    <x v="13"/>
    <n v="1"/>
    <n v="2"/>
    <n v="2"/>
    <n v="1"/>
    <n v="1.2"/>
    <s v="1.2.2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Signed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60399999999999998"/>
    <n v="0.86299999999999999"/>
    <n v="0.70699999999999996"/>
    <n v="0.60399999999999998"/>
    <n v="0.86299999999999999"/>
    <n v="0.70699999999999996"/>
    <s v="AI"/>
    <n v="0.86299999999999999"/>
    <n v="0.60399999999999998"/>
    <n v="0"/>
    <n v="0.27560000000000001"/>
    <n v="0"/>
    <n v="0.21900373100000001"/>
    <n v="0"/>
    <n v="0.27560000000000001"/>
    <s v="Yes"/>
    <s v="HAI = Signed"/>
    <m/>
  </r>
  <r>
    <x v="13"/>
    <n v="1"/>
    <n v="2"/>
    <n v="3"/>
    <n v="1"/>
    <n v="1.2"/>
    <s v="1.2.3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Signed + predicted label"/>
    <s v="Yes"/>
    <s v="No"/>
    <s v="Image, Numeric"/>
    <s v="Accuracy"/>
    <s v="Accuracy"/>
    <s v="Up"/>
    <n v="480"/>
    <n v="80"/>
    <n v="80"/>
    <s v="Crowdworkers"/>
    <s v="Crowdworkers"/>
    <s v="MTurk"/>
    <s v="No"/>
    <s v="Yes"/>
    <n v="0.60399999999999998"/>
    <n v="0.86299999999999999"/>
    <n v="0.72299999999999998"/>
    <n v="0.60399999999999998"/>
    <n v="0.86299999999999999"/>
    <n v="0.72299999999999998"/>
    <s v="AI"/>
    <n v="0.86299999999999999"/>
    <n v="0.60399999999999998"/>
    <n v="0"/>
    <n v="0.27560000000000001"/>
    <n v="0"/>
    <n v="0.26815887599999999"/>
    <n v="0"/>
    <n v="0.27560000000000001"/>
    <s v="Yes"/>
    <s v="HAI = Signed + predicted label"/>
    <m/>
  </r>
  <r>
    <x v="13"/>
    <n v="1"/>
    <n v="2"/>
    <n v="4"/>
    <n v="1"/>
    <n v="1.2"/>
    <s v="1.2.4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Signed + predicted label + guidelines"/>
    <s v="Yes"/>
    <s v="No"/>
    <s v="Image, Numeric, Text"/>
    <s v="Accuracy"/>
    <s v="Accuracy"/>
    <s v="Up"/>
    <n v="480"/>
    <n v="80"/>
    <n v="80"/>
    <s v="Crowdworkers"/>
    <s v="Crowdworkers"/>
    <s v="MTurk"/>
    <s v="No"/>
    <s v="Yes"/>
    <n v="0.60399999999999998"/>
    <n v="0.86299999999999999"/>
    <n v="0.70499999999999996"/>
    <n v="0.60399999999999998"/>
    <n v="0.86299999999999999"/>
    <n v="0.70499999999999996"/>
    <s v="AI"/>
    <n v="0.86299999999999999"/>
    <n v="0.60399999999999998"/>
    <n v="0"/>
    <n v="0.27560000000000001"/>
    <n v="0"/>
    <n v="0.25674785999999999"/>
    <n v="0"/>
    <n v="0.27560000000000001"/>
    <s v="Yes"/>
    <s v="HAI = Signed + predicted label + guidelines"/>
    <m/>
  </r>
  <r>
    <x v="13"/>
    <n v="1"/>
    <n v="2"/>
    <n v="5"/>
    <n v="1"/>
    <n v="1.2"/>
    <s v="1.2.5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Signed + predicted label + guidelines + accuracy"/>
    <s v="Yes"/>
    <s v="No"/>
    <s v="Image, Numeric, Text"/>
    <s v="Accuracy"/>
    <s v="Accuracy"/>
    <s v="Up"/>
    <n v="480"/>
    <n v="80"/>
    <n v="80"/>
    <s v="Crowdworkers"/>
    <s v="Crowdworkers"/>
    <s v="MTurk"/>
    <s v="No"/>
    <s v="Yes"/>
    <n v="0.60399999999999998"/>
    <n v="0.86299999999999999"/>
    <n v="0.74"/>
    <n v="0.60399999999999998"/>
    <n v="0.86299999999999999"/>
    <n v="0.74"/>
    <s v="AI"/>
    <n v="0.86299999999999999"/>
    <n v="0.60399999999999998"/>
    <n v="0"/>
    <n v="0.27560000000000001"/>
    <n v="0"/>
    <n v="0.27649769600000002"/>
    <n v="0"/>
    <n v="0.27560000000000001"/>
    <s v="Yes"/>
    <s v="HAI = Signed + predicted label + guidelines + accuracy"/>
    <m/>
  </r>
  <r>
    <x v="13"/>
    <n v="1"/>
    <n v="3"/>
    <n v="1"/>
    <n v="1"/>
    <n v="1.3"/>
    <s v="1.3.1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SVM, no training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600000000000004"/>
    <n v="0.86299999999999999"/>
    <n v="0.64100000000000001"/>
    <n v="0.54600000000000004"/>
    <n v="0.86299999999999999"/>
    <n v="0.64100000000000001"/>
    <s v="AI"/>
    <n v="0.86299999999999999"/>
    <n v="0.54600000000000004"/>
    <n v="0"/>
    <n v="0.27560000000000001"/>
    <n v="0"/>
    <n v="0.53745092100000003"/>
    <n v="0"/>
    <n v="0.27560000000000001"/>
    <s v="Yes"/>
    <s v="HAI = SVM, no training"/>
    <m/>
  </r>
  <r>
    <x v="13"/>
    <n v="1"/>
    <n v="3"/>
    <n v="2"/>
    <n v="1"/>
    <n v="1.3"/>
    <s v="1.3.2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Shallow"/>
    <s v="Text"/>
    <s v="Text"/>
    <s v="Shallow"/>
    <s v="Human"/>
    <s v="No"/>
    <s v="HAI = SVM, training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600000000000004"/>
    <n v="0.86299999999999999"/>
    <n v="0.72799999999999998"/>
    <n v="0.54600000000000004"/>
    <n v="0.86299999999999999"/>
    <n v="0.72799999999999998"/>
    <s v="AI"/>
    <n v="0.86299999999999999"/>
    <n v="0.54600000000000004"/>
    <n v="0"/>
    <n v="0.27560000000000001"/>
    <n v="0"/>
    <n v="0.45997109200000003"/>
    <n v="0"/>
    <n v="0.27560000000000001"/>
    <s v="Yes"/>
    <s v="HAI = SVM, training"/>
    <m/>
  </r>
  <r>
    <x v="13"/>
    <n v="1"/>
    <n v="3"/>
    <n v="3"/>
    <n v="1"/>
    <n v="1.3"/>
    <s v="1.3.3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Deep"/>
    <s v="Text"/>
    <s v="Text"/>
    <s v="Deep"/>
    <s v="Human"/>
    <s v="No"/>
    <s v="HAI = BERT-ATT, no training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600000000000004"/>
    <n v="0.90900000000000003"/>
    <n v="0.54100000000000004"/>
    <n v="0.54600000000000004"/>
    <n v="0.90900000000000003"/>
    <n v="0.54100000000000004"/>
    <s v="AI"/>
    <n v="0.90900000000000003"/>
    <n v="0.54600000000000004"/>
    <n v="0"/>
    <n v="0.30430000000000001"/>
    <n v="0"/>
    <n v="0.399760538"/>
    <n v="0"/>
    <n v="0.30430000000000001"/>
    <s v="Yes"/>
    <s v="HAI = BERT-ATT, no training"/>
    <m/>
  </r>
  <r>
    <x v="13"/>
    <n v="1"/>
    <n v="3"/>
    <n v="4"/>
    <n v="1"/>
    <n v="1.3"/>
    <s v="1.3.4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Deep"/>
    <s v="Text"/>
    <s v="Text"/>
    <s v="Deep"/>
    <s v="Human"/>
    <s v="No"/>
    <s v="HAI = BERT-ATT, training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600000000000004"/>
    <n v="0.90900000000000003"/>
    <n v="0.58199999999999996"/>
    <n v="0.54600000000000004"/>
    <n v="0.90900000000000003"/>
    <n v="0.58199999999999996"/>
    <s v="AI"/>
    <n v="0.90900000000000003"/>
    <n v="0.54600000000000004"/>
    <n v="0"/>
    <n v="0.30430000000000001"/>
    <n v="0"/>
    <n v="0.36239590999999999"/>
    <n v="0"/>
    <n v="0.30430000000000001"/>
    <s v="Yes"/>
    <s v="HAI = BERT-ATT, training"/>
    <m/>
  </r>
  <r>
    <x v="13"/>
    <n v="1"/>
    <n v="3"/>
    <n v="5"/>
    <n v="1"/>
    <n v="1.3"/>
    <s v="1.3.5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Deep"/>
    <s v="Text"/>
    <s v="Text"/>
    <s v="Deep"/>
    <s v="Human"/>
    <s v="No"/>
    <s v="HAI = BERT-LIME, no training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600000000000004"/>
    <n v="0.90900000000000003"/>
    <n v="0.59199999999999997"/>
    <n v="0.54600000000000004"/>
    <n v="0.90900000000000003"/>
    <n v="0.59199999999999997"/>
    <s v="AI"/>
    <n v="0.90900000000000003"/>
    <n v="0.54600000000000004"/>
    <n v="0"/>
    <n v="0.30430000000000001"/>
    <n v="0"/>
    <n v="0.35042283299999999"/>
    <n v="0"/>
    <n v="0.30430000000000001"/>
    <s v="Yes"/>
    <s v="HAI = BERT-LIME, no training"/>
    <m/>
  </r>
  <r>
    <x v="13"/>
    <n v="1"/>
    <n v="3"/>
    <n v="6"/>
    <n v="1"/>
    <n v="1.3"/>
    <s v="1.3.6.1"/>
    <x v="13"/>
    <s v="Lai, Vivian; Liu, Han; Tan, Chenhao"/>
    <n v="2020"/>
    <s v="Communication"/>
    <s v="Proceedings of the 2020 CHI Conference on Human Factors in Computing Systems"/>
    <s v="Between-Subjects"/>
    <s v="Independent Samples"/>
    <s v="Detect deceptive hotel reviews"/>
    <s v="Text"/>
    <s v="Text"/>
    <s v="No"/>
    <s v="No"/>
    <s v="No"/>
    <s v="No"/>
    <s v="Yes"/>
    <s v="No"/>
    <s v="Binary"/>
    <s v="Binary"/>
    <s v="Decide"/>
    <s v="Deep"/>
    <s v="Text"/>
    <s v="Text"/>
    <s v="Deep"/>
    <s v="Human"/>
    <s v="No"/>
    <s v="HAI = BERT-LIME, training"/>
    <s v="Yes"/>
    <s v="No"/>
    <s v="Image, Text"/>
    <s v="Accuracy"/>
    <s v="Accuracy"/>
    <s v="Up"/>
    <n v="480"/>
    <n v="80"/>
    <n v="80"/>
    <s v="Crowdworkers"/>
    <s v="Crowdworkers"/>
    <s v="MTurk"/>
    <s v="No"/>
    <s v="Yes"/>
    <n v="0.54600000000000004"/>
    <n v="0.90900000000000003"/>
    <n v="0.64900000000000002"/>
    <n v="0.54600000000000004"/>
    <n v="0.90900000000000003"/>
    <n v="0.64900000000000002"/>
    <s v="AI"/>
    <n v="0.90900000000000003"/>
    <n v="0.54600000000000004"/>
    <n v="0"/>
    <n v="0.30430000000000001"/>
    <n v="0"/>
    <n v="0.32790050500000001"/>
    <n v="0"/>
    <n v="0.30430000000000001"/>
    <s v="Yes"/>
    <s v="HAI = BERT-LIME, training"/>
    <m/>
  </r>
  <r>
    <x v="14"/>
    <n v="3"/>
    <n v="1"/>
    <n v="1"/>
    <n v="1"/>
    <n v="3.1"/>
    <s v="3.1.1.1"/>
    <x v="14"/>
    <s v="Jiang, Jiepu; Ahuja, Naman"/>
    <n v="2020"/>
    <s v="Communication"/>
    <s v="Proceedings of the 43rd International ACM SIGIR Conference on Research and Development in Information Retrieval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C1, 1 suggestion"/>
    <s v="No"/>
    <s v="No"/>
    <m/>
    <s v="Informativeness"/>
    <s v="Quality"/>
    <s v="Up"/>
    <n v="140"/>
    <n v="20"/>
    <n v="20"/>
    <s v="Crowdworkers"/>
    <s v="Crowdworkers"/>
    <s v="MTurk"/>
    <s v="No"/>
    <s v="Yes"/>
    <n v="2.72"/>
    <n v="2.81"/>
    <n v="2.85"/>
    <n v="2.72"/>
    <n v="2.81"/>
    <n v="2.85"/>
    <s v="AI"/>
    <n v="2.81"/>
    <n v="2.72"/>
    <n v="1"/>
    <n v="0.1"/>
    <n v="5.2094216999999998E-2"/>
    <n v="9.0961978999999998E-2"/>
    <n v="5.2094216999999998E-2"/>
    <n v="0.1"/>
    <s v="Yes"/>
    <s v="HAI = C1, 1 suggestion"/>
    <m/>
  </r>
  <r>
    <x v="14"/>
    <n v="3"/>
    <n v="1"/>
    <n v="2"/>
    <n v="1"/>
    <n v="3.1"/>
    <s v="3.1.2.1"/>
    <x v="14"/>
    <s v="Jiang, Jiepu; Ahuja, Naman"/>
    <n v="2020"/>
    <s v="Communication"/>
    <s v="Proceedings of the 43rd International ACM SIGIR Conference on Research and Development in Information Retrieval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C1, 3 suggestions"/>
    <s v="No"/>
    <s v="No"/>
    <m/>
    <s v="Informativeness"/>
    <s v="Quality"/>
    <s v="Up"/>
    <n v="140"/>
    <n v="20"/>
    <n v="20"/>
    <s v="Crowdworkers"/>
    <s v="Crowdworkers"/>
    <s v="MTurk"/>
    <s v="No"/>
    <s v="Yes"/>
    <n v="2.72"/>
    <n v="2.83"/>
    <n v="2.83"/>
    <n v="2.72"/>
    <n v="2.83"/>
    <n v="2.83"/>
    <s v="AI"/>
    <n v="2.83"/>
    <n v="2.72"/>
    <n v="0"/>
    <n v="0.1"/>
    <n v="6.7733639999999998E-2"/>
    <n v="9.3629289000000004E-2"/>
    <n v="6.7733639999999998E-2"/>
    <n v="0.1"/>
    <s v="Yes"/>
    <s v="HAI = C1, 3 suggestions"/>
    <m/>
  </r>
  <r>
    <x v="14"/>
    <n v="3"/>
    <n v="1"/>
    <n v="3"/>
    <n v="1"/>
    <n v="3.1"/>
    <s v="3.1.3.1"/>
    <x v="14"/>
    <s v="Jiang, Jiepu; Ahuja, Naman"/>
    <n v="2020"/>
    <s v="Communication"/>
    <s v="Proceedings of the 43rd International ACM SIGIR Conference on Research and Development in Information Retrieval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C1, 5 suggestions"/>
    <s v="No"/>
    <s v="No"/>
    <m/>
    <s v="Informativeness"/>
    <s v="Quality"/>
    <s v="Up"/>
    <n v="140"/>
    <n v="20"/>
    <n v="20"/>
    <s v="Crowdworkers"/>
    <s v="Crowdworkers"/>
    <s v="MTurk"/>
    <s v="No"/>
    <s v="Yes"/>
    <n v="2.72"/>
    <n v="2.83"/>
    <n v="2.81"/>
    <n v="2.72"/>
    <n v="2.83"/>
    <n v="2.81"/>
    <s v="AI"/>
    <n v="2.83"/>
    <n v="2.72"/>
    <n v="0"/>
    <n v="0.1"/>
    <n v="5.6618080000000001E-2"/>
    <n v="8.1824096999999998E-2"/>
    <n v="5.6618080000000001E-2"/>
    <n v="0.1"/>
    <s v="Yes"/>
    <s v="HAI = C1, 5 suggestions"/>
    <m/>
  </r>
  <r>
    <x v="14"/>
    <n v="3"/>
    <n v="1"/>
    <n v="4"/>
    <n v="1"/>
    <n v="3.1"/>
    <s v="3.1.4.1"/>
    <x v="14"/>
    <s v="Jiang, Jiepu; Ahuja, Naman"/>
    <n v="2020"/>
    <s v="Communication"/>
    <s v="Proceedings of the 43rd International ACM SIGIR Conference on Research and Development in Information Retrieval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C2, 1 suggestion"/>
    <s v="No"/>
    <s v="No"/>
    <m/>
    <s v="Informativeness"/>
    <s v="Quality"/>
    <s v="Up"/>
    <n v="140"/>
    <n v="20"/>
    <n v="20"/>
    <s v="Crowdworkers"/>
    <s v="Crowdworkers"/>
    <s v="MTurk"/>
    <s v="No"/>
    <s v="Yes"/>
    <n v="2.72"/>
    <n v="2.84"/>
    <n v="2.81"/>
    <n v="2.72"/>
    <n v="2.84"/>
    <n v="2.81"/>
    <s v="AI"/>
    <n v="2.84"/>
    <n v="2.72"/>
    <n v="0"/>
    <n v="0.1"/>
    <n v="4.6323672000000003E-2"/>
    <n v="6.2016551000000003E-2"/>
    <n v="4.6323672000000003E-2"/>
    <n v="0.1"/>
    <s v="Yes"/>
    <s v="HAI = C2, 1 suggestion"/>
    <m/>
  </r>
  <r>
    <x v="14"/>
    <n v="3"/>
    <n v="1"/>
    <n v="5"/>
    <n v="1"/>
    <n v="3.1"/>
    <s v="3.1.5.1"/>
    <x v="14"/>
    <s v="Jiang, Jiepu; Ahuja, Naman"/>
    <n v="2020"/>
    <s v="Communication"/>
    <s v="Proceedings of the 43rd International ACM SIGIR Conference on Research and Development in Information Retrieval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C2, 3 suggestions"/>
    <s v="No"/>
    <s v="No"/>
    <m/>
    <s v="Informativeness"/>
    <s v="Quality"/>
    <s v="Up"/>
    <n v="140"/>
    <n v="20"/>
    <n v="20"/>
    <s v="Crowdworkers"/>
    <s v="Crowdworkers"/>
    <s v="MTurk"/>
    <s v="No"/>
    <s v="Yes"/>
    <n v="2.72"/>
    <n v="2.79"/>
    <n v="2.89"/>
    <n v="2.72"/>
    <n v="2.79"/>
    <n v="2.89"/>
    <s v="AI"/>
    <n v="2.79"/>
    <n v="2.72"/>
    <n v="1"/>
    <n v="0.1"/>
    <n v="5.5015658000000002E-2"/>
    <n v="5.9477154999999997E-2"/>
    <n v="5.5015658000000002E-2"/>
    <n v="0.1"/>
    <s v="Yes"/>
    <s v="HAI = C2, 3 suggestions"/>
    <m/>
  </r>
  <r>
    <x v="14"/>
    <n v="3"/>
    <n v="1"/>
    <n v="6"/>
    <n v="1"/>
    <n v="3.1"/>
    <s v="3.1.6.1"/>
    <x v="14"/>
    <s v="Jiang, Jiepu; Ahuja, Naman"/>
    <n v="2020"/>
    <s v="Communication"/>
    <s v="Proceedings of the 43rd International ACM SIGIR Conference on Research and Development in Information Retrieval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C2, 5 suggestions"/>
    <s v="No"/>
    <s v="No"/>
    <m/>
    <s v="Informativeness"/>
    <s v="Quality"/>
    <s v="Up"/>
    <n v="140"/>
    <n v="20"/>
    <n v="20"/>
    <s v="Crowdworkers"/>
    <s v="Crowdworkers"/>
    <s v="MTurk"/>
    <s v="No"/>
    <s v="Yes"/>
    <n v="2.72"/>
    <n v="2.83"/>
    <n v="2.87"/>
    <n v="2.72"/>
    <n v="2.83"/>
    <n v="2.87"/>
    <s v="AI"/>
    <n v="2.83"/>
    <n v="2.72"/>
    <n v="1"/>
    <n v="0.1"/>
    <n v="6.3712947000000006E-2"/>
    <n v="7.3732012E-2"/>
    <n v="6.3712947000000006E-2"/>
    <n v="0.1"/>
    <s v="Yes"/>
    <s v="HAI = C2, 5 suggestions"/>
    <m/>
  </r>
  <r>
    <x v="1"/>
    <n v="6"/>
    <n v="1"/>
    <n v="1"/>
    <n v="1"/>
    <n v="6.1"/>
    <s v="6.1.1.1"/>
    <x v="1"/>
    <s v="Bansal, Gagan; Wu, Tongshuang; Zhou, Joyce; Fok, Raymond; Nushi, Besmira; Kamar, Ece; Ribeiro, Marco Tulio; Weld, Daniel"/>
    <n v="2021"/>
    <s v="Communication"/>
    <s v="Proceedings of the 2021 CHI Conference on Human Factors in Computing Systems"/>
    <s v="Between-Subjects"/>
    <s v="Independent Samples"/>
    <s v="Classify beer reviews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AI = Beer, Conf"/>
    <s v="Yes"/>
    <s v="Yes"/>
    <s v="Numeric"/>
    <s v="Accuracy"/>
    <s v="Accuracy"/>
    <s v="Up"/>
    <n v="462"/>
    <n v="92"/>
    <n v="92"/>
    <s v="Crowdworkers"/>
    <s v="Crowdworkers"/>
    <s v="MTurk"/>
    <s v="No"/>
    <s v="Yes"/>
    <n v="0.81569999999999998"/>
    <n v="0.84"/>
    <n v="0.89549999999999996"/>
    <n v="0.81569999999999998"/>
    <n v="0.84"/>
    <n v="0.89549999999999996"/>
    <s v="AI"/>
    <n v="0.84"/>
    <n v="0.81569999999999998"/>
    <n v="1"/>
    <n v="9.1399999999999995E-2"/>
    <n v="0"/>
    <n v="4.7300000000000002E-2"/>
    <n v="0"/>
    <n v="9.1399999999999995E-2"/>
    <s v="No"/>
    <s v="HAI = Conf"/>
    <m/>
  </r>
  <r>
    <x v="1"/>
    <n v="6"/>
    <n v="1"/>
    <n v="2"/>
    <n v="1"/>
    <n v="6.1"/>
    <s v="6.1.2.1"/>
    <x v="1"/>
    <s v="Bansal, Gagan; Wu, Tongshuang; Zhou, Joyce; Fok, Raymond; Nushi, Besmira; Kamar, Ece; Ribeiro, Marco Tulio; Weld, Daniel"/>
    <n v="2021"/>
    <s v="Communication"/>
    <s v="Proceedings of the 2021 CHI Conference on Human Factors in Computing Systems"/>
    <s v="Between-Subjects"/>
    <s v="Independent Samples"/>
    <s v="Classify beer reviews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AI = Beer, Explain-Top-1"/>
    <s v="Yes"/>
    <s v="Yes"/>
    <s v="Image, Numeric, Text"/>
    <s v="Accuracy"/>
    <s v="Accuracy"/>
    <s v="Up"/>
    <n v="462"/>
    <n v="92"/>
    <n v="88"/>
    <s v="Crowdworkers"/>
    <s v="Crowdworkers"/>
    <s v="MTurk"/>
    <s v="No"/>
    <s v="Yes"/>
    <n v="0.81569999999999998"/>
    <n v="0.84"/>
    <n v="0.88519999999999999"/>
    <n v="0.81569999999999998"/>
    <n v="0.84"/>
    <n v="0.88519999999999999"/>
    <s v="AI"/>
    <n v="0.84"/>
    <n v="0.81569999999999998"/>
    <n v="1"/>
    <n v="9.1399999999999995E-2"/>
    <n v="0"/>
    <n v="5.7599999999999998E-2"/>
    <n v="0"/>
    <n v="9.1399999999999995E-2"/>
    <s v="No"/>
    <s v="HAI = Explain-Top-1"/>
    <m/>
  </r>
  <r>
    <x v="1"/>
    <n v="6"/>
    <n v="1"/>
    <n v="3"/>
    <n v="1"/>
    <n v="6.1"/>
    <s v="6.1.3.1"/>
    <x v="1"/>
    <s v="Bansal, Gagan; Wu, Tongshuang; Zhou, Joyce; Fok, Raymond; Nushi, Besmira; Kamar, Ece; Ribeiro, Marco Tulio; Weld, Daniel"/>
    <n v="2021"/>
    <s v="Communication"/>
    <s v="Proceedings of the 2021 CHI Conference on Human Factors in Computing Systems"/>
    <s v="Between-Subjects"/>
    <s v="Independent Samples"/>
    <s v="Classify beer reviews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AI = Beer, Explain-Top-2"/>
    <s v="Yes"/>
    <s v="Yes"/>
    <s v="Image, Numeric, Text"/>
    <s v="Accuracy"/>
    <s v="Accuracy"/>
    <s v="Up"/>
    <n v="462"/>
    <n v="92"/>
    <n v="92"/>
    <s v="Crowdworkers"/>
    <s v="Crowdworkers"/>
    <s v="MTurk"/>
    <s v="No"/>
    <s v="Yes"/>
    <n v="0.81569999999999998"/>
    <n v="0.84"/>
    <n v="0.87860000000000005"/>
    <n v="0.81569999999999998"/>
    <n v="0.84"/>
    <n v="0.87860000000000005"/>
    <s v="AI"/>
    <n v="0.84"/>
    <n v="0.81569999999999998"/>
    <n v="1"/>
    <n v="9.1399999999999995E-2"/>
    <n v="0"/>
    <n v="7.3700000000000002E-2"/>
    <n v="0"/>
    <n v="9.1399999999999995E-2"/>
    <s v="No"/>
    <s v="HAI = Explain-Top-2"/>
    <m/>
  </r>
  <r>
    <x v="1"/>
    <n v="6"/>
    <n v="1"/>
    <n v="4"/>
    <n v="1"/>
    <n v="6.1"/>
    <s v="6.1.4.1"/>
    <x v="1"/>
    <s v="Bansal, Gagan; Wu, Tongshuang; Zhou, Joyce; Fok, Raymond; Nushi, Besmira; Kamar, Ece; Ribeiro, Marco Tulio; Weld, Daniel"/>
    <n v="2021"/>
    <s v="Communication"/>
    <s v="Proceedings of the 2021 CHI Conference on Human Factors in Computing Systems"/>
    <s v="Between-Subjects"/>
    <s v="Independent Samples"/>
    <s v="Classify beer reviews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AI = Beer, Adaptive"/>
    <s v="Yes"/>
    <s v="Yes"/>
    <s v="Image, Numeric, Text"/>
    <s v="Accuracy"/>
    <s v="Accuracy"/>
    <s v="Up"/>
    <n v="462"/>
    <n v="92"/>
    <n v="98"/>
    <s v="Crowdworkers"/>
    <s v="Crowdworkers"/>
    <s v="MTurk"/>
    <s v="No"/>
    <s v="Yes"/>
    <n v="0.81569999999999998"/>
    <n v="0.84"/>
    <n v="0.88690000000000002"/>
    <n v="0.81569999999999998"/>
    <n v="0.84"/>
    <n v="0.88690000000000002"/>
    <s v="AI"/>
    <n v="0.84"/>
    <n v="0.81569999999999998"/>
    <n v="1"/>
    <n v="9.1399999999999995E-2"/>
    <n v="0"/>
    <n v="5.3999999999999999E-2"/>
    <n v="0"/>
    <n v="9.1399999999999995E-2"/>
    <s v="No"/>
    <s v="HAI = Adaptive"/>
    <m/>
  </r>
  <r>
    <x v="1"/>
    <n v="6"/>
    <n v="2"/>
    <n v="1"/>
    <n v="1"/>
    <n v="6.2"/>
    <s v="6.2.1.1"/>
    <x v="1"/>
    <s v="Bansal, Gagan; Wu, Tongshuang; Zhou, Joyce; Fok, Raymond; Nushi, Besmira; Kamar, Ece; Ribeiro, Marco Tulio; Weld, Daniel"/>
    <n v="2021"/>
    <s v="Communication"/>
    <s v="Proceedings of the 2021 CHI Conference on Human Factors in Computing Systems"/>
    <s v="Between-Subjects"/>
    <s v="Independent Samples"/>
    <s v="Classify Amazon reviews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AI = Amazon, Conf"/>
    <s v="Yes"/>
    <s v="Yes"/>
    <s v="Numeric"/>
    <s v="Accuracy"/>
    <s v="Accuracy"/>
    <s v="Up"/>
    <n v="457"/>
    <n v="91"/>
    <n v="92"/>
    <s v="Crowdworkers"/>
    <s v="Crowdworkers"/>
    <s v="MTurk"/>
    <s v="No"/>
    <s v="Yes"/>
    <n v="0.87690000000000001"/>
    <n v="0.84"/>
    <n v="0.90649999999999997"/>
    <n v="0.87690000000000001"/>
    <n v="0.84"/>
    <n v="0.90649999999999997"/>
    <s v="Human"/>
    <n v="0.87690000000000001"/>
    <n v="0.84"/>
    <n v="1"/>
    <n v="0.1232"/>
    <n v="0"/>
    <n v="6.9099999999999995E-2"/>
    <n v="0.12324988000000001"/>
    <n v="0"/>
    <s v="No"/>
    <s v="HAI = Conf"/>
    <m/>
  </r>
  <r>
    <x v="1"/>
    <n v="6"/>
    <n v="2"/>
    <n v="2"/>
    <n v="1"/>
    <n v="6.2"/>
    <s v="6.2.2.1"/>
    <x v="1"/>
    <s v="Bansal, Gagan; Wu, Tongshuang; Zhou, Joyce; Fok, Raymond; Nushi, Besmira; Kamar, Ece; Ribeiro, Marco Tulio; Weld, Daniel"/>
    <n v="2021"/>
    <s v="Communication"/>
    <s v="Proceedings of the 2021 CHI Conference on Human Factors in Computing Systems"/>
    <s v="Between-Subjects"/>
    <s v="Independent Samples"/>
    <s v="Classify Amazon reviews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AI = Amazon, Explain-Top-1"/>
    <s v="Yes"/>
    <s v="Yes"/>
    <s v="Image, Numeric, Text"/>
    <s v="Accuracy"/>
    <s v="Accuracy"/>
    <s v="Up"/>
    <n v="457"/>
    <n v="91"/>
    <n v="91"/>
    <s v="Crowdworkers"/>
    <s v="Crowdworkers"/>
    <s v="MTurk"/>
    <s v="No"/>
    <s v="Yes"/>
    <n v="0.87690000000000001"/>
    <n v="0.84"/>
    <n v="0.91800000000000004"/>
    <n v="0.87690000000000001"/>
    <n v="0.84"/>
    <n v="0.91800000000000004"/>
    <s v="Human"/>
    <n v="0.87690000000000001"/>
    <n v="0.84"/>
    <n v="1"/>
    <n v="0.1232"/>
    <n v="0"/>
    <n v="5.5500000000000001E-2"/>
    <n v="0.12324988000000001"/>
    <n v="0"/>
    <s v="No"/>
    <s v="HAI = Explain-Top-1"/>
    <m/>
  </r>
  <r>
    <x v="1"/>
    <n v="6"/>
    <n v="2"/>
    <n v="3"/>
    <n v="1"/>
    <n v="6.2"/>
    <s v="6.2.3.1"/>
    <x v="1"/>
    <s v="Bansal, Gagan; Wu, Tongshuang; Zhou, Joyce; Fok, Raymond; Nushi, Besmira; Kamar, Ece; Ribeiro, Marco Tulio; Weld, Daniel"/>
    <n v="2021"/>
    <s v="Communication"/>
    <s v="Proceedings of the 2021 CHI Conference on Human Factors in Computing Systems"/>
    <s v="Between-Subjects"/>
    <s v="Independent Samples"/>
    <s v="Classify Amazon reviews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AI = Amazon, Explain-Top-2"/>
    <s v="Yes"/>
    <s v="Yes"/>
    <s v="Image, Numeric, Text"/>
    <s v="Accuracy"/>
    <s v="Accuracy"/>
    <s v="Up"/>
    <n v="457"/>
    <n v="91"/>
    <n v="90"/>
    <s v="Crowdworkers"/>
    <s v="Crowdworkers"/>
    <s v="MTurk"/>
    <s v="No"/>
    <s v="Yes"/>
    <n v="0.87690000000000001"/>
    <n v="0.84"/>
    <n v="0.90959999999999996"/>
    <n v="0.87690000000000001"/>
    <n v="0.84"/>
    <n v="0.90959999999999996"/>
    <s v="Human"/>
    <n v="0.87690000000000001"/>
    <n v="0.84"/>
    <n v="1"/>
    <n v="0.1232"/>
    <n v="0"/>
    <n v="8.1299999999999997E-2"/>
    <n v="0.12324988000000001"/>
    <n v="0"/>
    <s v="No"/>
    <s v="HAI = Explain-Top-2"/>
    <m/>
  </r>
  <r>
    <x v="1"/>
    <n v="6"/>
    <n v="2"/>
    <n v="4"/>
    <n v="1"/>
    <n v="6.2"/>
    <s v="6.2.4.1"/>
    <x v="1"/>
    <s v="Bansal, Gagan; Wu, Tongshuang; Zhou, Joyce; Fok, Raymond; Nushi, Besmira; Kamar, Ece; Ribeiro, Marco Tulio; Weld, Daniel"/>
    <n v="2021"/>
    <s v="Communication"/>
    <s v="Proceedings of the 2021 CHI Conference on Human Factors in Computing Systems"/>
    <s v="Between-Subjects"/>
    <s v="Independent Samples"/>
    <s v="Classify Amazon reviews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AI = Amazon, Adaptive"/>
    <s v="Yes"/>
    <s v="Yes"/>
    <s v="Image, Numeric, Text"/>
    <s v="Accuracy"/>
    <s v="Accuracy"/>
    <s v="Up"/>
    <n v="457"/>
    <n v="91"/>
    <n v="93"/>
    <s v="Crowdworkers"/>
    <s v="Crowdworkers"/>
    <s v="MTurk"/>
    <s v="No"/>
    <s v="Yes"/>
    <n v="0.87690000000000001"/>
    <n v="0.84"/>
    <n v="0.91720000000000002"/>
    <n v="0.87690000000000001"/>
    <n v="0.84"/>
    <n v="0.91720000000000002"/>
    <s v="Human"/>
    <n v="0.87690000000000001"/>
    <n v="0.84"/>
    <n v="1"/>
    <n v="0.1232"/>
    <n v="0"/>
    <n v="6.4799999999999996E-2"/>
    <n v="0.12324988000000001"/>
    <n v="0"/>
    <s v="No"/>
    <s v="HAI = Adaptive"/>
    <m/>
  </r>
  <r>
    <x v="15"/>
    <n v="8"/>
    <n v="1"/>
    <n v="1"/>
    <n v="1"/>
    <n v="8.1"/>
    <s v="8.1.1.1"/>
    <x v="15"/>
    <s v="Gao, Zihan; Jiang, Jiepu"/>
    <n v="2021"/>
    <s v="Communication"/>
    <s v="Proceedings of the 30th ACM International Conference on Information &amp;amp; Knowledge Management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RetWiki"/>
    <s v="No"/>
    <s v="No"/>
    <m/>
    <s v="Quality"/>
    <s v="Quality"/>
    <s v="Up"/>
    <n v="1050"/>
    <n v="50"/>
    <n v="300"/>
    <s v="Crowdworkers"/>
    <s v="Crowdworkers"/>
    <s v="MTurk"/>
    <s v="No"/>
    <s v="Yes"/>
    <n v="3.74"/>
    <n v="3.68"/>
    <n v="3.77"/>
    <n v="3.74"/>
    <n v="3.68"/>
    <n v="3.77"/>
    <s v="Human"/>
    <n v="3.74"/>
    <n v="3.68"/>
    <n v="1"/>
    <n v="0.73"/>
    <n v="0.71"/>
    <n v="0.68"/>
    <n v="0.73"/>
    <n v="0.71"/>
    <s v="No"/>
    <s v="HAI = RetWiki"/>
    <m/>
  </r>
  <r>
    <x v="15"/>
    <n v="8"/>
    <n v="1"/>
    <n v="2"/>
    <n v="1"/>
    <n v="8.1"/>
    <s v="8.1.2.1"/>
    <x v="15"/>
    <s v="Gao, Zihan; Jiang, Jiepu"/>
    <n v="2021"/>
    <s v="Communication"/>
    <s v="Proceedings of the 30th ACM International Conference on Information &amp;amp; Knowledge Management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RetBest"/>
    <s v="No"/>
    <s v="No"/>
    <m/>
    <s v="Quality"/>
    <s v="Quality"/>
    <s v="Up"/>
    <n v="1050"/>
    <n v="50"/>
    <n v="300"/>
    <s v="Crowdworkers"/>
    <s v="Crowdworkers"/>
    <s v="MTurk"/>
    <s v="No"/>
    <s v="Yes"/>
    <n v="3.74"/>
    <n v="3.87"/>
    <n v="3.89"/>
    <n v="3.74"/>
    <n v="3.87"/>
    <n v="3.89"/>
    <s v="AI"/>
    <n v="3.87"/>
    <n v="3.74"/>
    <n v="1"/>
    <n v="0.73"/>
    <n v="0.66"/>
    <n v="0.65"/>
    <n v="0.66"/>
    <n v="0.73"/>
    <s v="No"/>
    <s v="HAI = RetBest"/>
    <m/>
  </r>
  <r>
    <x v="15"/>
    <n v="8"/>
    <n v="1"/>
    <n v="3"/>
    <n v="1"/>
    <n v="8.1"/>
    <s v="8.1.3.1"/>
    <x v="15"/>
    <s v="Gao, Zihan; Jiang, Jiepu"/>
    <n v="2021"/>
    <s v="Communication"/>
    <s v="Proceedings of the 30th ACM International Conference on Information &amp;amp; Knowledge Management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RetWorst"/>
    <s v="No"/>
    <s v="No"/>
    <m/>
    <s v="Quality"/>
    <s v="Quality"/>
    <s v="Up"/>
    <n v="1050"/>
    <n v="50"/>
    <n v="300"/>
    <s v="Crowdworkers"/>
    <s v="Crowdworkers"/>
    <s v="MTurk"/>
    <s v="No"/>
    <s v="Yes"/>
    <n v="3.74"/>
    <n v="2.84"/>
    <n v="3.35"/>
    <n v="3.74"/>
    <n v="2.84"/>
    <n v="3.35"/>
    <s v="Human"/>
    <n v="3.74"/>
    <n v="2.84"/>
    <n v="0"/>
    <n v="0.73"/>
    <n v="0.9"/>
    <n v="0.87"/>
    <n v="0.73"/>
    <n v="0.9"/>
    <s v="No"/>
    <s v="HAI = RetWorst"/>
    <m/>
  </r>
  <r>
    <x v="15"/>
    <n v="8"/>
    <n v="1"/>
    <n v="4"/>
    <n v="1"/>
    <n v="8.1"/>
    <s v="8.1.4.1"/>
    <x v="15"/>
    <s v="Gao, Zihan; Jiang, Jiepu"/>
    <n v="2021"/>
    <s v="Communication"/>
    <s v="Proceedings of the 30th ACM International Conference on Information &amp;amp; Knowledge Management"/>
    <s v="Between-Subjects"/>
    <s v="Independent Samples"/>
    <s v="Engage in a conversation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HAI = RetWorst"/>
    <s v="No"/>
    <s v="No"/>
    <m/>
    <s v="Quality"/>
    <s v="Quality"/>
    <s v="Up"/>
    <n v="1050"/>
    <n v="50"/>
    <n v="100"/>
    <s v="Crowdworkers"/>
    <s v="Crowdworkers"/>
    <s v="MTurk"/>
    <s v="No"/>
    <s v="Yes"/>
    <n v="3.74"/>
    <n v="3.1"/>
    <n v="3.43"/>
    <n v="3.74"/>
    <n v="3.1"/>
    <n v="3.43"/>
    <s v="Human"/>
    <n v="3.74"/>
    <n v="3.1"/>
    <n v="0"/>
    <n v="0.73"/>
    <n v="0.83"/>
    <n v="0.82"/>
    <n v="0.73"/>
    <n v="0.83"/>
    <s v="No"/>
    <s v="HAI = RetWorst"/>
    <m/>
  </r>
  <r>
    <x v="16"/>
    <n v="10"/>
    <n v="1"/>
    <n v="1"/>
    <n v="1"/>
    <n v="10.1"/>
    <s v="10.1.1.1"/>
    <x v="16"/>
    <s v="Lai, Vivian; Carton, Samuel; Bhatnagar, Rajat; Liao, Q. Vera; Zhang, Yunfeng; Tan, Chenhao"/>
    <n v="2022"/>
    <s v="Communication"/>
    <s v="Proceedings of the 2022 CHI Conference on Human Factors in Computing Systems"/>
    <s v="Between-Subjects"/>
    <s v="Independent Samples"/>
    <s v="Moderate content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WikiAttack, HAI = Predicted labels"/>
    <s v="Yes"/>
    <s v="No"/>
    <s v="Text"/>
    <s v="Precision"/>
    <s v="Accuracy"/>
    <s v="Up"/>
    <n v="120"/>
    <n v="30"/>
    <n v="30"/>
    <s v="Crowdworkers"/>
    <s v="Crowdworkers"/>
    <s v="MTurk"/>
    <s v="No"/>
    <s v="Yes"/>
    <n v="0.78800000000000003"/>
    <n v="0.89"/>
    <n v="0.94"/>
    <n v="0.78800000000000003"/>
    <n v="0.89"/>
    <n v="0.94"/>
    <s v="AI"/>
    <n v="0.89"/>
    <n v="0.78800000000000003"/>
    <n v="1"/>
    <n v="0.1726"/>
    <n v="0"/>
    <n v="3.6636066000000002E-2"/>
    <n v="0.1726"/>
    <n v="0.1726"/>
    <s v="No"/>
    <s v="Reddit, HAI = Predicted labels + local explanations"/>
    <m/>
  </r>
  <r>
    <x v="16"/>
    <n v="10"/>
    <n v="1"/>
    <n v="2"/>
    <n v="1"/>
    <n v="10.1"/>
    <s v="10.1.2.1"/>
    <x v="16"/>
    <s v="Lai, Vivian; Carton, Samuel; Bhatnagar, Rajat; Liao, Q. Vera; Zhang, Yunfeng; Tan, Chenhao"/>
    <n v="2022"/>
    <s v="Communication"/>
    <s v="Proceedings of the 2022 CHI Conference on Human Factors in Computing Systems"/>
    <s v="Between-Subjects"/>
    <s v="Independent Samples"/>
    <s v="Moderate content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WikiAttack, HAI = Predicted labels + local explanations"/>
    <s v="Yes"/>
    <s v="No"/>
    <s v="Text"/>
    <s v="Precision"/>
    <s v="Accuracy"/>
    <s v="Up"/>
    <n v="120"/>
    <n v="30"/>
    <n v="30"/>
    <s v="Crowdworkers"/>
    <s v="Crowdworkers"/>
    <s v="MTurk"/>
    <s v="No"/>
    <s v="Yes"/>
    <n v="0.78800000000000003"/>
    <n v="0.89"/>
    <n v="0.93200000000000005"/>
    <n v="0.78800000000000003"/>
    <n v="0.89"/>
    <n v="0.93200000000000005"/>
    <s v="AI"/>
    <n v="0.89"/>
    <n v="0.78800000000000003"/>
    <n v="1"/>
    <n v="0.1726"/>
    <n v="0"/>
    <n v="4.8295427000000002E-2"/>
    <n v="0.1726"/>
    <n v="0.1726"/>
    <s v="No"/>
    <s v="Reddit, HAI = Predicted labels + local explanations + global explanations"/>
    <m/>
  </r>
  <r>
    <x v="16"/>
    <n v="10"/>
    <n v="1"/>
    <n v="3"/>
    <n v="1"/>
    <n v="10.1"/>
    <s v="10.1.3.1"/>
    <x v="16"/>
    <s v="Lai, Vivian; Carton, Samuel; Bhatnagar, Rajat; Liao, Q. Vera; Zhang, Yunfeng; Tan, Chenhao"/>
    <n v="2022"/>
    <s v="Communication"/>
    <s v="Proceedings of the 2022 CHI Conference on Human Factors in Computing Systems"/>
    <s v="Between-Subjects"/>
    <s v="Independent Samples"/>
    <s v="Moderate content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WikiAttack, HAI = Predicted labels + local explanations + global explanations"/>
    <s v="Yes"/>
    <s v="No"/>
    <s v="Text"/>
    <s v="Precision"/>
    <s v="Accuracy"/>
    <s v="Up"/>
    <n v="120"/>
    <n v="30"/>
    <n v="30"/>
    <s v="Crowdworkers"/>
    <s v="Crowdworkers"/>
    <s v="MTurk"/>
    <s v="No"/>
    <s v="Yes"/>
    <n v="0.78800000000000003"/>
    <n v="0.89"/>
    <n v="0.94799999999999995"/>
    <n v="0.78800000000000003"/>
    <n v="0.89"/>
    <n v="0.94799999999999995"/>
    <s v="AI"/>
    <n v="0.89"/>
    <n v="0.78800000000000003"/>
    <n v="1"/>
    <n v="0.1726"/>
    <n v="0"/>
    <n v="2.4976704999999998E-2"/>
    <n v="0.1726"/>
    <n v="0.1726"/>
    <s v="No"/>
    <s v="No tutorial, with xai"/>
    <m/>
  </r>
  <r>
    <x v="16"/>
    <n v="10"/>
    <n v="2"/>
    <n v="1"/>
    <n v="1"/>
    <n v="10.199999999999999"/>
    <s v="10.2.1.1"/>
    <x v="16"/>
    <s v="Lai, Vivian; Carton, Samuel; Bhatnagar, Rajat; Liao, Q. Vera; Zhang, Yunfeng; Tan, Chenhao"/>
    <n v="2022"/>
    <s v="Communication"/>
    <s v="Proceedings of the 2022 CHI Conference on Human Factors in Computing Systems"/>
    <s v="Between-Subjects"/>
    <s v="Independent Samples"/>
    <s v="Moderate content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Reddit, HAI = Predicted labels"/>
    <s v="Yes"/>
    <s v="No"/>
    <s v="Text"/>
    <s v="Precision"/>
    <s v="Accuracy"/>
    <s v="Up"/>
    <n v="120"/>
    <n v="30"/>
    <n v="30"/>
    <s v="Crowdworkers"/>
    <s v="Crowdworkers"/>
    <s v="MTurk"/>
    <s v="No"/>
    <s v="Yes"/>
    <n v="0.628"/>
    <n v="0.54"/>
    <n v="0.626"/>
    <n v="0.628"/>
    <n v="0.54"/>
    <n v="0.626"/>
    <s v="Human"/>
    <n v="0.628"/>
    <n v="0.54"/>
    <n v="0"/>
    <n v="0.13239999999999999"/>
    <n v="0"/>
    <n v="8.2302897E-2"/>
    <n v="0.628"/>
    <n v="0"/>
    <s v="No"/>
    <s v="With tutorial, with xai"/>
    <m/>
  </r>
  <r>
    <x v="16"/>
    <n v="10"/>
    <n v="2"/>
    <n v="2"/>
    <n v="1"/>
    <n v="10.199999999999999"/>
    <s v="10.2.2.1"/>
    <x v="16"/>
    <s v="Lai, Vivian; Carton, Samuel; Bhatnagar, Rajat; Liao, Q. Vera; Zhang, Yunfeng; Tan, Chenhao"/>
    <n v="2022"/>
    <s v="Communication"/>
    <s v="Proceedings of the 2022 CHI Conference on Human Factors in Computing Systems"/>
    <s v="Between-Subjects"/>
    <s v="Independent Samples"/>
    <s v="Moderate content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Reddit, HAI = Predicted labels + local explanations"/>
    <s v="Yes"/>
    <s v="No"/>
    <s v="Text"/>
    <s v="Precision"/>
    <s v="Accuracy"/>
    <s v="Up"/>
    <n v="120"/>
    <n v="30"/>
    <n v="30"/>
    <s v="Crowdworkers"/>
    <s v="Crowdworkers"/>
    <s v="MTurk"/>
    <s v="No"/>
    <s v="Yes"/>
    <n v="0.628"/>
    <n v="0.54"/>
    <n v="0.60899999999999999"/>
    <n v="0.628"/>
    <n v="0.54"/>
    <n v="0.60899999999999999"/>
    <s v="Human"/>
    <n v="0.628"/>
    <n v="0.54"/>
    <n v="0"/>
    <n v="0.13239999999999999"/>
    <n v="0"/>
    <n v="0.108915966"/>
    <n v="0.628"/>
    <n v="0"/>
    <s v="No"/>
    <s v="HAI = Constant Time"/>
    <m/>
  </r>
  <r>
    <x v="16"/>
    <n v="10"/>
    <n v="2"/>
    <n v="3"/>
    <n v="1"/>
    <n v="10.199999999999999"/>
    <s v="10.2.3.1"/>
    <x v="16"/>
    <s v="Lai, Vivian; Carton, Samuel; Bhatnagar, Rajat; Liao, Q. Vera; Zhang, Yunfeng; Tan, Chenhao"/>
    <n v="2022"/>
    <s v="Communication"/>
    <s v="Proceedings of the 2023 CHI Conference on Human Factors in Computing Systems"/>
    <s v="Between-Subjects"/>
    <s v="Independent Samples"/>
    <s v="Moderate content"/>
    <s v="Text"/>
    <s v="Text"/>
    <s v="No"/>
    <s v="No"/>
    <s v="No"/>
    <s v="No"/>
    <s v="Yes"/>
    <s v="No"/>
    <s v="Text"/>
    <s v="Open Response"/>
    <s v="Create"/>
    <s v="Deep"/>
    <s v="Text"/>
    <s v="Text"/>
    <s v="Deep"/>
    <s v="Human"/>
    <s v="No"/>
    <s v="Reddit, HAI = Predicted labels + local explanations + global explanations"/>
    <s v="Yes"/>
    <s v="No"/>
    <s v="Text"/>
    <s v="Precision"/>
    <s v="Accuracy"/>
    <s v="Up"/>
    <n v="120"/>
    <n v="30"/>
    <n v="30"/>
    <s v="Crowdworkers"/>
    <s v="Crowdworkers"/>
    <s v="MTurk"/>
    <s v="No"/>
    <s v="Yes"/>
    <n v="0.628"/>
    <n v="0.54"/>
    <n v="0.61899999999999999"/>
    <n v="0.628"/>
    <n v="0.54"/>
    <n v="0.61899999999999999"/>
    <s v="Human"/>
    <n v="0.628"/>
    <n v="0.54"/>
    <n v="0"/>
    <n v="0.13239999999999999"/>
    <n v="0"/>
    <n v="7.4006444000000005E-2"/>
    <n v="0.628"/>
    <n v="0"/>
    <s v="No"/>
    <s v="HAI = Random time"/>
    <m/>
  </r>
  <r>
    <x v="17"/>
    <n v="15"/>
    <n v="1"/>
    <n v="1"/>
    <n v="1"/>
    <n v="15.1"/>
    <s v="15.1.1.1"/>
    <x v="17"/>
    <s v="Cabrera, Ãngel Alexander; Perer, Adam; Hong, Jason I."/>
    <n v="2023"/>
    <s v="Communication"/>
    <s v="Proc. ACM Hum.-Comput. Interact."/>
    <s v="Between-Subjects"/>
    <s v="Independent Samples"/>
    <s v="Detect fake hotel reviews"/>
    <s v="Text"/>
    <s v="Text"/>
    <s v="No"/>
    <s v="No"/>
    <s v="No"/>
    <s v="No"/>
    <s v="Yes"/>
    <s v="No"/>
    <s v="Binary"/>
    <s v="Binary"/>
    <s v="Decide"/>
    <s v="Wizard of Oz"/>
    <s v="Text"/>
    <s v="Binary"/>
    <s v="Wizard of Oz"/>
    <s v="Human"/>
    <s v="No"/>
    <s v="HAI = AI"/>
    <s v="No"/>
    <s v="No"/>
    <m/>
    <s v="Accuracy"/>
    <s v="Accuracy"/>
    <s v="Up"/>
    <n v="67"/>
    <n v="23"/>
    <n v="22"/>
    <s v="Crowdworkers"/>
    <s v="Crowdworkers"/>
    <s v="MTurk"/>
    <s v="No"/>
    <s v="Yes"/>
    <n v="0.5514"/>
    <n v="0.73299999999999998"/>
    <n v="0.62319999999999998"/>
    <n v="0.5514"/>
    <n v="0.73299999999999998"/>
    <n v="0.62319999999999998"/>
    <s v="AI"/>
    <n v="0.73299999999999998"/>
    <n v="0.5514"/>
    <n v="0"/>
    <n v="0.1036"/>
    <n v="0"/>
    <n v="9.6600000000000005E-2"/>
    <n v="0"/>
    <n v="0.1036"/>
    <s v="No"/>
    <s v="HAI = AI"/>
    <m/>
  </r>
  <r>
    <x v="17"/>
    <n v="15"/>
    <n v="1"/>
    <n v="2"/>
    <n v="1"/>
    <n v="15.1"/>
    <s v="15.1.2.1"/>
    <x v="17"/>
    <s v="Cabrera, Ãngel Alexander; Perer, Adam; Hong, Jason I."/>
    <n v="2023"/>
    <s v="Communication"/>
    <s v="Proc. ACM Hum.-Comput. Interact."/>
    <s v="Between-Subjects"/>
    <s v="Independent Samples"/>
    <s v="Detect fake hotel reviews"/>
    <s v="Text"/>
    <s v="Text"/>
    <s v="No"/>
    <s v="No"/>
    <s v="No"/>
    <s v="No"/>
    <s v="Yes"/>
    <s v="No"/>
    <s v="Binary"/>
    <s v="Binary"/>
    <s v="Decide"/>
    <s v="Wizard of Oz"/>
    <s v="Text"/>
    <s v="Binary"/>
    <s v="Wizard of Oz"/>
    <s v="Human"/>
    <s v="No"/>
    <s v="HAI = AI + BD"/>
    <s v="Yes"/>
    <s v="No"/>
    <s v="Text"/>
    <s v="Accuracy"/>
    <s v="Accuracy"/>
    <s v="Up"/>
    <n v="67"/>
    <n v="23"/>
    <n v="22"/>
    <s v="Crowdworkers"/>
    <s v="Crowdworkers"/>
    <s v="MTurk"/>
    <s v="No"/>
    <s v="Yes"/>
    <n v="0.5514"/>
    <n v="0.73299999999999998"/>
    <n v="0.69130000000000003"/>
    <n v="0.5514"/>
    <n v="0.73299999999999998"/>
    <n v="0.69130000000000003"/>
    <s v="AI"/>
    <n v="0.73299999999999998"/>
    <n v="0.5514"/>
    <n v="0"/>
    <n v="0.1036"/>
    <n v="0"/>
    <n v="0.12659999999999999"/>
    <n v="0"/>
    <n v="0.1036"/>
    <s v="No"/>
    <s v="HAI = AI + BD"/>
    <m/>
  </r>
  <r>
    <x v="18"/>
    <n v="16"/>
    <n v="1"/>
    <n v="1"/>
    <n v="1"/>
    <n v="16.100000000000001"/>
    <s v="16.1.1.1"/>
    <x v="18"/>
    <s v="Schemmer, Max; Kuehl, Niklas; Benz, Carina; Bartos, Andrea; Satzger, Gerhard"/>
    <n v="2023"/>
    <s v="Communication"/>
    <s v="Proceedings of the 28th International Conference on Intelligent User Interfaces"/>
    <s v="Mixed, Within-Subjects"/>
    <s v="Dependent Samples"/>
    <s v="Detect fake hotel reviews"/>
    <s v="Text"/>
    <s v="Text"/>
    <s v="No"/>
    <s v="No"/>
    <s v="No"/>
    <s v="No"/>
    <s v="Yes"/>
    <s v="No"/>
    <s v="Binary"/>
    <s v="Binary"/>
    <s v="Decide"/>
    <s v="Shallow"/>
    <s v="Text"/>
    <s v="Binary"/>
    <s v="Shallow"/>
    <s v="Human"/>
    <s v="No"/>
    <s v="HAI = Control"/>
    <s v="No"/>
    <s v="No"/>
    <m/>
    <s v="Accuracy"/>
    <s v="Accuracy"/>
    <s v="Up"/>
    <n v="199"/>
    <n v="100"/>
    <n v="100"/>
    <s v="Crowdworkers"/>
    <s v="Crowdworkers"/>
    <s v="Prolific"/>
    <s v="No"/>
    <s v="Yes"/>
    <n v="0.55500000000000005"/>
    <n v="0.5"/>
    <n v="0.53939999999999999"/>
    <n v="0.55500000000000005"/>
    <n v="0.5"/>
    <n v="0.53939999999999999"/>
    <s v="Human"/>
    <n v="0.55500000000000005"/>
    <n v="0.5"/>
    <n v="0"/>
    <n v="0.1275"/>
    <n v="0"/>
    <n v="0.113"/>
    <n v="0.1275"/>
    <n v="0"/>
    <s v="No"/>
    <s v="HAI = Selective Counterfactual"/>
    <m/>
  </r>
  <r>
    <x v="18"/>
    <n v="16"/>
    <n v="1"/>
    <n v="2"/>
    <n v="1"/>
    <n v="16.100000000000001"/>
    <s v="16.1.2.1"/>
    <x v="18"/>
    <s v="Schemmer, Max; Kuehl, Niklas; Benz, Carina; Bartos, Andrea; Satzger, Gerhard"/>
    <n v="2023"/>
    <s v="Communication"/>
    <s v="Proceedings of the 28th International Conference on Intelligent User Interfaces"/>
    <s v="Mixed, Within-Subjects"/>
    <s v="Dependent Samples"/>
    <s v="Detect fake hotel reviews"/>
    <s v="Text"/>
    <s v="Text"/>
    <s v="No"/>
    <s v="No"/>
    <s v="No"/>
    <s v="No"/>
    <s v="Yes"/>
    <s v="No"/>
    <s v="Binary"/>
    <s v="Binary"/>
    <s v="Decide"/>
    <s v="Shallow"/>
    <s v="Text"/>
    <s v="Binary"/>
    <s v="Shallow"/>
    <s v="Human"/>
    <s v="No"/>
    <s v="HAI = Feature Importance"/>
    <s v="Yes"/>
    <s v="No"/>
    <s v="Image, Text"/>
    <s v="Accuracy"/>
    <s v="Accuracy"/>
    <s v="Up"/>
    <n v="199"/>
    <n v="99"/>
    <n v="99"/>
    <s v="Crowdworkers"/>
    <s v="Crowdworkers"/>
    <s v="Prolific"/>
    <s v="No"/>
    <s v="Yes"/>
    <n v="0.53849999999999998"/>
    <n v="0.5"/>
    <n v="0.56299999999999994"/>
    <n v="0.53849999999999998"/>
    <n v="0.5"/>
    <n v="0.56299999999999994"/>
    <s v="Human"/>
    <n v="0.53849999999999998"/>
    <n v="0.5"/>
    <n v="1"/>
    <n v="0.1246"/>
    <n v="0"/>
    <n v="0.1"/>
    <n v="0.1246"/>
    <n v="0"/>
    <s v="No"/>
    <s v="HAI = Complete Feature Attr."/>
    <m/>
  </r>
  <r>
    <x v="19"/>
    <n v="23"/>
    <n v="1"/>
    <n v="1"/>
    <n v="1"/>
    <n v="23.1"/>
    <s v="23.1.1.1"/>
    <x v="19"/>
    <s v="Papenmeier, Andrea; Kern, Dagmar; Englebienne, Gwenn; Seifert, Christin"/>
    <n v="2022"/>
    <s v="Communication"/>
    <s v="ACM Transactions on Computer-Human Interaction (TOCHI)"/>
    <s v="Between-Subjects"/>
    <s v="Independent Samples"/>
    <s v="Classify Tweets with and without offensive langauge and hate speech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F"/>
    <s v="Yes"/>
    <s v="No"/>
    <s v="Image, Text"/>
    <s v="Accuracy"/>
    <s v="Accuracy"/>
    <s v="Up"/>
    <n v="959"/>
    <n v="91"/>
    <n v="91"/>
    <s v="Crowdworkers"/>
    <s v="Crowdworkers"/>
    <s v="Prolific"/>
    <s v="No"/>
    <s v="Yes"/>
    <n v="0.78"/>
    <n v="0.96"/>
    <n v="0.83"/>
    <n v="0.78"/>
    <n v="0.96"/>
    <n v="0.83"/>
    <s v="AI"/>
    <n v="0.96"/>
    <n v="0.78"/>
    <n v="0"/>
    <n v="0.12"/>
    <n v="0"/>
    <n v="0.12"/>
    <n v="0"/>
    <n v="0.12"/>
    <s v="No"/>
    <s v="Reddit; HAI = AI post-edit"/>
    <m/>
  </r>
  <r>
    <x v="19"/>
    <n v="23"/>
    <n v="1"/>
    <n v="2"/>
    <n v="1"/>
    <n v="23.1"/>
    <s v="23.1.2.1"/>
    <x v="19"/>
    <s v="Papenmeier, Andrea; Kern, Dagmar; Englebienne, Gwenn; Seifert, Christin"/>
    <n v="2022"/>
    <s v="Communication"/>
    <s v="ACM Transactions on Computer-Human Interaction (TOCHI)"/>
    <s v="Between-Subjects"/>
    <s v="Independent Samples"/>
    <s v="Classify Tweets with and without offensive langauge and hate speech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R"/>
    <s v="Yes"/>
    <s v="No"/>
    <s v="Image, Text"/>
    <s v="Accuracy"/>
    <s v="Accuracy"/>
    <s v="Up"/>
    <n v="959"/>
    <n v="102"/>
    <n v="102"/>
    <s v="Crowdworkers"/>
    <s v="Crowdworkers"/>
    <s v="Prolific"/>
    <s v="No"/>
    <s v="Yes"/>
    <n v="0.8"/>
    <n v="0.96"/>
    <n v="0.82"/>
    <n v="0.8"/>
    <n v="0.96"/>
    <n v="0.82"/>
    <s v="AI"/>
    <n v="0.96"/>
    <n v="0.8"/>
    <n v="0"/>
    <n v="0.11"/>
    <n v="0"/>
    <n v="0.12"/>
    <n v="0"/>
    <n v="0.11"/>
    <s v="No"/>
    <s v="Xsum; HAI = AI post-edit"/>
    <m/>
  </r>
  <r>
    <x v="19"/>
    <n v="23"/>
    <n v="1"/>
    <n v="3"/>
    <n v="1"/>
    <n v="23.1"/>
    <s v="23.1.3.1"/>
    <x v="19"/>
    <s v="Papenmeier, Andrea; Kern, Dagmar; Englebienne, Gwenn; Seifert, Christin"/>
    <n v="2022"/>
    <s v="Communication"/>
    <s v="ACM Transactions on Computer-Human Interaction (TOCHI)"/>
    <s v="Between-Subjects"/>
    <s v="Independent Samples"/>
    <s v="Classify Tweets with and without offensive langauge and hate speech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HN"/>
    <s v="No"/>
    <s v="No"/>
    <s v="No"/>
    <s v="Accuracy"/>
    <s v="Accuracy"/>
    <s v="Up"/>
    <n v="959"/>
    <n v="92"/>
    <n v="92"/>
    <s v="Crowdworkers"/>
    <s v="Crowdworkers"/>
    <s v="Prolific"/>
    <s v="No"/>
    <s v="Yes"/>
    <n v="0.8"/>
    <n v="0.96"/>
    <n v="0.84"/>
    <n v="0.8"/>
    <n v="0.96"/>
    <n v="0.84"/>
    <s v="AI"/>
    <n v="0.96"/>
    <n v="0.8"/>
    <n v="0"/>
    <n v="0.12"/>
    <n v="0"/>
    <n v="0.11"/>
    <n v="0"/>
    <n v="0.12"/>
    <s v="No"/>
    <s v="Data received from author"/>
    <m/>
  </r>
  <r>
    <x v="19"/>
    <n v="23"/>
    <n v="1"/>
    <n v="4"/>
    <n v="1"/>
    <n v="23.1"/>
    <s v="23.1.4.1"/>
    <x v="19"/>
    <s v="Papenmeier, Andrea; Kern, Dagmar; Englebienne, Gwenn; Seifert, Christin"/>
    <n v="2022"/>
    <s v="Communication"/>
    <s v="ACM Transactions on Computer-Human Interaction (TOCHI)"/>
    <s v="Between-Subjects"/>
    <s v="Independent Samples"/>
    <s v="Classify Tweets with and without offensive langauge and hate speech"/>
    <s v="Text"/>
    <s v="Text"/>
    <s v="No"/>
    <s v="No"/>
    <s v="No"/>
    <s v="No"/>
    <s v="Yes"/>
    <s v="No"/>
    <s v="Binary"/>
    <s v="Binary"/>
    <s v="Decide"/>
    <s v="Shallow"/>
    <s v="Text"/>
    <s v="Binary"/>
    <s v="Shallow"/>
    <s v="Human"/>
    <s v="No"/>
    <s v="MF"/>
    <s v="Yes"/>
    <s v="No"/>
    <s v="Image, Text"/>
    <s v="Accuracy"/>
    <s v="Accuracy"/>
    <s v="Up"/>
    <n v="959"/>
    <n v="96"/>
    <n v="96"/>
    <s v="Crowdworkers"/>
    <s v="Crowdworkers"/>
    <s v="Prolific"/>
    <s v="No"/>
    <s v="Yes"/>
    <n v="0.79"/>
    <n v="0.76"/>
    <n v="0.81"/>
    <n v="0.79"/>
    <n v="0.76"/>
    <n v="0.81"/>
    <s v="Human"/>
    <n v="0.79"/>
    <n v="0.76"/>
    <n v="1"/>
    <n v="0.12"/>
    <n v="0"/>
    <n v="0.11"/>
    <n v="0.12"/>
    <n v="0"/>
    <s v="No"/>
    <s v="Data received from author"/>
    <m/>
  </r>
  <r>
    <x v="19"/>
    <n v="23"/>
    <n v="1"/>
    <n v="5"/>
    <n v="1"/>
    <n v="23.1"/>
    <s v="23.1.5.1"/>
    <x v="19"/>
    <s v="Papenmeier, Andrea; Kern, Dagmar; Englebienne, Gwenn; Seifert, Christin"/>
    <n v="2022"/>
    <s v="Communication"/>
    <s v="ACM Transactions on Computer-Human Interaction (TOCHI)"/>
    <s v="Between-Subjects"/>
    <s v="Independent Samples"/>
    <s v="Classify Tweets with and without offensive langauge and hate speech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MR"/>
    <s v="Yes"/>
    <s v="No"/>
    <s v="Image, Text"/>
    <s v="Accuracy"/>
    <s v="Accuracy"/>
    <s v="Up"/>
    <n v="959"/>
    <n v="103"/>
    <n v="103"/>
    <s v="Crowdworkers"/>
    <s v="Crowdworkers"/>
    <s v="Prolific"/>
    <s v="No"/>
    <s v="Yes"/>
    <n v="0.8"/>
    <n v="0.76"/>
    <n v="0.79"/>
    <n v="0.8"/>
    <n v="0.76"/>
    <n v="0.79"/>
    <s v="Human"/>
    <n v="0.8"/>
    <n v="0.76"/>
    <n v="0"/>
    <n v="0.12"/>
    <n v="0"/>
    <n v="0.14000000000000001"/>
    <n v="0.12"/>
    <n v="0"/>
    <s v="No"/>
    <s v="Increasing Variance"/>
    <m/>
  </r>
  <r>
    <x v="19"/>
    <n v="23"/>
    <n v="1"/>
    <n v="6"/>
    <n v="1"/>
    <n v="23.1"/>
    <s v="23.1.6.1"/>
    <x v="19"/>
    <s v="Papenmeier, Andrea; Kern, Dagmar; Englebienne, Gwenn; Seifert, Christin"/>
    <n v="2022"/>
    <s v="Communication"/>
    <s v="ACM Transactions on Computer-Human Interaction (TOCHI)"/>
    <s v="Between-Subjects"/>
    <s v="Independent Samples"/>
    <s v="Classify Tweets with and without offensive langauge and hate speech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MN"/>
    <s v="No"/>
    <s v="No"/>
    <s v="No"/>
    <s v="Accuracy"/>
    <s v="Accuracy"/>
    <s v="Up"/>
    <n v="959"/>
    <n v="100"/>
    <n v="100"/>
    <s v="Crowdworkers"/>
    <s v="Crowdworkers"/>
    <s v="Prolific"/>
    <s v="No"/>
    <s v="Yes"/>
    <n v="0.8"/>
    <n v="0.76"/>
    <n v="0.81"/>
    <n v="0.8"/>
    <n v="0.76"/>
    <n v="0.81"/>
    <s v="Human"/>
    <n v="0.8"/>
    <n v="0.76"/>
    <n v="1"/>
    <n v="0.12"/>
    <n v="0"/>
    <n v="0.13"/>
    <n v="0.12"/>
    <n v="0"/>
    <s v="No"/>
    <s v="Decreasing Variance"/>
    <m/>
  </r>
  <r>
    <x v="19"/>
    <n v="23"/>
    <n v="1"/>
    <n v="7"/>
    <n v="1"/>
    <n v="23.1"/>
    <s v="23.1.7.1"/>
    <x v="19"/>
    <s v="Papenmeier, Andrea; Kern, Dagmar; Englebienne, Gwenn; Seifert, Christin"/>
    <n v="2022"/>
    <s v="Communication"/>
    <s v="ACM Transactions on Computer-Human Interaction (TOCHI)"/>
    <s v="Between-Subjects"/>
    <s v="Independent Samples"/>
    <s v="Classify Tweets with and without offensive langauge and hate speech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AF"/>
    <s v="Yes"/>
    <s v="No"/>
    <s v="Image, Text"/>
    <s v="Accuracy"/>
    <s v="Accuracy"/>
    <s v="Up"/>
    <n v="959"/>
    <n v="100"/>
    <n v="100"/>
    <s v="Crowdworkers"/>
    <s v="Crowdworkers"/>
    <s v="Prolific"/>
    <s v="No"/>
    <s v="Yes"/>
    <n v="0.78"/>
    <n v="0.04"/>
    <n v="0.74"/>
    <n v="0.78"/>
    <n v="0.04"/>
    <n v="0.74"/>
    <s v="Human"/>
    <n v="0.78"/>
    <n v="0.04"/>
    <n v="0"/>
    <n v="0.12"/>
    <n v="0"/>
    <n v="0.18"/>
    <n v="0.12"/>
    <n v="0"/>
    <s v="No"/>
    <s v="AI = Incorrect, Explanation = Heuristic based"/>
    <m/>
  </r>
  <r>
    <x v="19"/>
    <n v="23"/>
    <n v="1"/>
    <n v="8"/>
    <n v="1"/>
    <n v="23.1"/>
    <s v="23.1.8.1"/>
    <x v="19"/>
    <s v="Papenmeier, Andrea; Kern, Dagmar; Englebienne, Gwenn; Seifert, Christin"/>
    <n v="2022"/>
    <s v="Communication"/>
    <s v="ACM Transactions on Computer-Human Interaction (TOCHI)"/>
    <s v="Between-Subjects"/>
    <s v="Independent Samples"/>
    <s v="Classify Tweets with and without offensive langauge and hate speech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AR"/>
    <s v="Yes"/>
    <s v="No"/>
    <s v="Image, Text"/>
    <s v="Accuracy"/>
    <s v="Accuracy"/>
    <s v="Up"/>
    <n v="959"/>
    <n v="98"/>
    <n v="98"/>
    <s v="Crowdworkers"/>
    <s v="Crowdworkers"/>
    <s v="Prolific"/>
    <s v="No"/>
    <s v="Yes"/>
    <n v="0.79"/>
    <n v="0.04"/>
    <n v="0.77"/>
    <n v="0.79"/>
    <n v="0.04"/>
    <n v="0.77"/>
    <s v="Human"/>
    <n v="0.79"/>
    <n v="0.04"/>
    <n v="0"/>
    <n v="0.13"/>
    <n v="0"/>
    <n v="0.14000000000000001"/>
    <n v="0.13"/>
    <n v="0"/>
    <s v="No"/>
    <s v="Unlimited Time"/>
    <m/>
  </r>
  <r>
    <x v="19"/>
    <n v="23"/>
    <n v="1"/>
    <n v="9"/>
    <n v="1"/>
    <n v="23.1"/>
    <s v="23.1.9.1"/>
    <x v="19"/>
    <s v="Papenmeier, Andrea; Kern, Dagmar; Englebienne, Gwenn; Seifert, Christin"/>
    <n v="2022"/>
    <s v="Communication"/>
    <s v="ACM Transactions on Computer-Human Interaction (TOCHI)"/>
    <s v="Between-Subjects"/>
    <s v="Independent Samples"/>
    <s v="Classify Tweets with and without offensive langauge and hate speech"/>
    <s v="Text"/>
    <s v="Text"/>
    <s v="No"/>
    <s v="No"/>
    <s v="No"/>
    <s v="No"/>
    <s v="Yes"/>
    <s v="No"/>
    <s v="Binary"/>
    <s v="Binary"/>
    <s v="Decide"/>
    <s v="Deep"/>
    <s v="Text"/>
    <s v="Binary"/>
    <s v="Deep"/>
    <s v="Human"/>
    <s v="No"/>
    <s v="AN"/>
    <s v="No"/>
    <s v="No"/>
    <s v="No"/>
    <s v="Accuracy"/>
    <s v="Accuracy"/>
    <s v="Up"/>
    <n v="959"/>
    <n v="103"/>
    <n v="103"/>
    <s v="Crowdworkers"/>
    <s v="Crowdworkers"/>
    <s v="Prolific"/>
    <s v="No"/>
    <s v="Yes"/>
    <n v="0.79"/>
    <n v="0.04"/>
    <n v="0.74"/>
    <n v="0.79"/>
    <n v="0.04"/>
    <n v="0.74"/>
    <s v="Human"/>
    <n v="0.79"/>
    <n v="0.04"/>
    <n v="0"/>
    <n v="0.11"/>
    <n v="0"/>
    <n v="0.14000000000000001"/>
    <n v="0.11"/>
    <n v="0"/>
    <s v="No"/>
    <s v="2-Minute"/>
    <m/>
  </r>
  <r>
    <x v="20"/>
    <n v="24"/>
    <n v="1"/>
    <n v="1"/>
    <n v="1"/>
    <n v="24.1"/>
    <s v="24.1.1.1"/>
    <x v="20"/>
    <s v="Lai, V; Smith-Renner, A; Zhang, K; Cheng, RJ; Zhang, WJ; Tetreault, J; Jaimes, A; ASSOC COMPUTAT LINGUIST"/>
    <n v="2022"/>
    <s v="Communication"/>
    <s v="Proceedings of the 2022 Conference of the North American Chapter of the Association for Computational Linguistics: Human Language Technologies"/>
    <s v="Between-Subjects"/>
    <s v="Independent Samples"/>
    <s v="Summarize social media posts"/>
    <s v="Text"/>
    <s v="Text"/>
    <s v="No"/>
    <s v="No"/>
    <s v="No"/>
    <s v="No"/>
    <s v="Yes"/>
    <s v="No"/>
    <s v="Text"/>
    <s v="Open Response"/>
    <s v="Create"/>
    <s v="Generative "/>
    <s v="Text"/>
    <s v="Text"/>
    <s v="Deep"/>
    <s v="Human"/>
    <s v="Yes"/>
    <s v="Reddit; HAI = AI post-edit"/>
    <s v="No"/>
    <s v="No"/>
    <m/>
    <s v="Quality"/>
    <s v="Quality"/>
    <s v="Up"/>
    <n v="24"/>
    <n v="12"/>
    <n v="12"/>
    <s v="Crowdworkers"/>
    <s v="Crowdworkers"/>
    <s v="Upwork"/>
    <s v="No"/>
    <s v="Yes"/>
    <n v="5.76"/>
    <n v="4.6500000000000004"/>
    <n v="5.48"/>
    <n v="5.7553000000000001"/>
    <n v="4.6516999999999999"/>
    <n v="5.4847000000000001"/>
    <s v="Human"/>
    <n v="5.7553000000000001"/>
    <n v="4.6516999999999999"/>
    <n v="0"/>
    <n v="1.5"/>
    <n v="1.17"/>
    <n v="1"/>
    <n v="1.5"/>
    <n v="1.17"/>
    <s v="No"/>
    <s v="Data received from author"/>
    <m/>
  </r>
  <r>
    <x v="20"/>
    <n v="24"/>
    <n v="1"/>
    <n v="2"/>
    <n v="1"/>
    <n v="24.1"/>
    <s v="24.1.2.1"/>
    <x v="20"/>
    <s v="Lai, V; Smith-Renner, A; Zhang, K; Cheng, RJ; Zhang, WJ; Tetreault, J; Jaimes, A"/>
    <n v="2022"/>
    <s v="Communication"/>
    <s v="Proceedings of the 2022 Conference of the North American Chapter of the Association for Computational Linguistics: Human Language Technologies"/>
    <s v="Between-Subjects"/>
    <s v="Independent Samples"/>
    <s v="Summarize social media posts"/>
    <s v="Text"/>
    <s v="Text"/>
    <s v="No"/>
    <s v="No"/>
    <s v="No"/>
    <s v="No"/>
    <s v="Yes"/>
    <s v="No"/>
    <s v="Text"/>
    <s v="Open Response"/>
    <s v="Create"/>
    <s v="Generative "/>
    <s v="Text"/>
    <s v="Text"/>
    <s v="Deep"/>
    <s v="Human"/>
    <s v="Yes"/>
    <s v="Xsum; HAI = AI post-edit"/>
    <s v="No"/>
    <s v="No"/>
    <m/>
    <s v="Quality"/>
    <s v="Quality"/>
    <s v="Up"/>
    <n v="24"/>
    <n v="12"/>
    <n v="12"/>
    <s v="Crowdworkers"/>
    <s v="Crowdworkers"/>
    <s v="Upwork"/>
    <s v="No"/>
    <s v="Yes"/>
    <n v="5.58"/>
    <n v="4.1900000000000004"/>
    <n v="5.31"/>
    <n v="5.58"/>
    <n v="4.1932999999999998"/>
    <n v="5.3121"/>
    <s v="Human"/>
    <n v="5.58"/>
    <n v="4.1932999999999998"/>
    <n v="0"/>
    <n v="1.25"/>
    <n v="1.3"/>
    <n v="1.38"/>
    <n v="1.25"/>
    <n v="1.3"/>
    <s v="No"/>
    <s v="Data received from author"/>
    <m/>
  </r>
  <r>
    <x v="21"/>
    <n v="38"/>
    <n v="1"/>
    <n v="1"/>
    <n v="1"/>
    <n v="38.1"/>
    <s v="38.1.1.1"/>
    <x v="21"/>
    <s v="Przybyla, P; Soto, AJ"/>
    <n v="2021"/>
    <s v="Communication"/>
    <s v="Information Processing &amp; Management"/>
    <s v="Within-Subjects"/>
    <s v="Dependent Samples"/>
    <s v="Determine credibility of news articles"/>
    <s v="Image, Text"/>
    <s v="Multiple"/>
    <s v="No"/>
    <s v="No"/>
    <s v="Yes"/>
    <s v="No"/>
    <s v="Yes"/>
    <s v="No"/>
    <s v="Categoric"/>
    <s v="Categoric"/>
    <s v="Decide"/>
    <s v="Deep"/>
    <s v="Image, Text"/>
    <s v="Continuous"/>
    <s v="Deep"/>
    <s v="Human"/>
    <s v="No"/>
    <s v="AI = Stylometric"/>
    <s v="Yes"/>
    <s v="Yes"/>
    <s v="Image, Numeric, Text"/>
    <s v="Accuracy"/>
    <s v="Accuracy"/>
    <s v="Up"/>
    <n v="14"/>
    <n v="14"/>
    <n v="14"/>
    <s v="Not Specified"/>
    <s v="Specialists (Expert)"/>
    <s v="Not Specified"/>
    <s v="No"/>
    <s v="No"/>
    <n v="0.75"/>
    <n v="0.9"/>
    <n v="0.89290000000000003"/>
    <n v="0.75"/>
    <n v="0.9"/>
    <n v="0.89290000000000003"/>
    <s v="AI"/>
    <n v="0.9"/>
    <n v="0.75"/>
    <n v="0"/>
    <n v="0.3493"/>
    <n v="0"/>
    <n v="0.17369999999999999"/>
    <n v="0"/>
    <n v="0.3493"/>
    <s v="No"/>
    <m/>
    <m/>
  </r>
  <r>
    <x v="21"/>
    <n v="38"/>
    <n v="1"/>
    <n v="2"/>
    <n v="1"/>
    <n v="38.1"/>
    <s v="38.1.2.1"/>
    <x v="21"/>
    <s v="Przybyla, P; Soto, AJ"/>
    <n v="2021"/>
    <s v="Communication"/>
    <s v="Information Processing &amp; Management"/>
    <s v="Within-Subjects"/>
    <s v="Dependent Samples"/>
    <s v="Determine credibility of news articles"/>
    <s v="Image, Text"/>
    <s v="Multiple"/>
    <s v="No"/>
    <s v="No"/>
    <s v="Yes"/>
    <s v="No"/>
    <s v="Yes"/>
    <s v="No"/>
    <s v="Categoric"/>
    <s v="Categoric"/>
    <s v="Decide"/>
    <s v="Deep"/>
    <s v="Image, Text"/>
    <s v="Continuous"/>
    <s v="Deep"/>
    <s v="Human"/>
    <s v="No"/>
    <s v="AI = Neutral"/>
    <s v="Yes"/>
    <s v="Yes"/>
    <s v="Image, Numeric, Text"/>
    <s v="Accuracy"/>
    <s v="Accuracy"/>
    <s v="Up"/>
    <n v="14"/>
    <n v="14"/>
    <n v="14"/>
    <s v="Not Specified"/>
    <s v="Specialists (Expert)"/>
    <s v="Not Specified"/>
    <s v="No"/>
    <s v="No"/>
    <n v="0.67859999999999998"/>
    <n v="0.9"/>
    <n v="0.83330000000000004"/>
    <n v="0.67859999999999998"/>
    <n v="0.9"/>
    <n v="0.83330000000000004"/>
    <s v="AI"/>
    <n v="0.9"/>
    <n v="0.67859999999999998"/>
    <n v="0"/>
    <n v="0.34189999999999998"/>
    <n v="0"/>
    <n v="0.19919999999999999"/>
    <n v="0"/>
    <n v="0.34189999999999998"/>
    <s v="No"/>
    <s v="HAI = AI only"/>
    <m/>
  </r>
  <r>
    <x v="22"/>
    <n v="51"/>
    <n v="1"/>
    <n v="1"/>
    <n v="1"/>
    <n v="51.1"/>
    <s v="51.1.1.1"/>
    <x v="22"/>
    <s v="Groh, Matthew; Epstein, Ziv; Firestone, Chaz; Picard, Rosalind"/>
    <n v="2022"/>
    <s v="Communication"/>
    <s v="PNAS"/>
    <s v="Within-Subjects"/>
    <s v="Dependent Samples"/>
    <s v="Detect deepfakes"/>
    <s v="Video"/>
    <s v="Video"/>
    <s v="No"/>
    <s v="No"/>
    <s v="No"/>
    <s v="No"/>
    <s v="No"/>
    <s v="Yes"/>
    <s v="Binary"/>
    <s v="Binary"/>
    <s v="Decide"/>
    <s v="Deep"/>
    <s v="Video"/>
    <s v="Binary"/>
    <s v="Deep"/>
    <s v="Human"/>
    <s v="No"/>
    <s v="HAI = AI + explanation"/>
    <s v="No"/>
    <s v="Yes"/>
    <m/>
    <s v="Accuracy"/>
    <s v="Accuracy"/>
    <s v="Up"/>
    <n v="131"/>
    <n v="131"/>
    <n v="131"/>
    <s v="Crowdworkers"/>
    <s v="Crowdworkers"/>
    <s v="Prolific"/>
    <s v="No"/>
    <s v="Yes"/>
    <n v="0.66590000000000005"/>
    <n v="0.8004"/>
    <n v="0.73299999999999998"/>
    <n v="0.66590000000000005"/>
    <n v="0.8004"/>
    <n v="0.73299999999999998"/>
    <s v="AI"/>
    <n v="0.8004"/>
    <n v="0.66590000000000005"/>
    <n v="0"/>
    <n v="0.15909999999999999"/>
    <n v="0.113"/>
    <n v="0.16850000000000001"/>
    <n v="0.11303669"/>
    <n v="0.15909999999999999"/>
    <s v="No"/>
    <m/>
    <m/>
  </r>
  <r>
    <x v="22"/>
    <n v="51"/>
    <n v="2"/>
    <n v="2"/>
    <n v="1"/>
    <n v="51.2"/>
    <s v="51.2.2.1"/>
    <x v="22"/>
    <s v="Groh, Matthew; Epstein, Ziv; Firestone, Chaz; Picard, Rosalind"/>
    <n v="2022"/>
    <s v="Communication"/>
    <s v="PNAS"/>
    <s v="Within-Subjects"/>
    <s v="Dependent Samples"/>
    <s v="Detect deepfakes"/>
    <s v="Video"/>
    <s v="Video"/>
    <s v="No"/>
    <s v="No"/>
    <s v="No"/>
    <s v="No"/>
    <s v="No"/>
    <s v="Yes"/>
    <s v="Binary"/>
    <s v="Binary"/>
    <s v="Decide"/>
    <s v="Deep"/>
    <s v="Video"/>
    <s v="Binary"/>
    <s v="Deep"/>
    <s v="Human"/>
    <s v="No"/>
    <s v="HAI = AI alone"/>
    <s v="No"/>
    <s v="Yes"/>
    <m/>
    <s v="Accuracy"/>
    <s v="Accuracy"/>
    <s v="Up"/>
    <n v="1675"/>
    <n v="1675"/>
    <n v="1675"/>
    <s v="Volunteers"/>
    <s v="Volunteers"/>
    <s v="Website"/>
    <s v="No"/>
    <s v="No"/>
    <n v="0.7056"/>
    <n v="0.80349999999999999"/>
    <n v="0.74360000000000004"/>
    <n v="0.7056"/>
    <n v="0.80349999999999999"/>
    <n v="0.74360000000000004"/>
    <s v="AI"/>
    <n v="0.80349999999999999"/>
    <n v="0.7056"/>
    <n v="0"/>
    <n v="0.16850000000000001"/>
    <n v="0.13600000000000001"/>
    <n v="0.16889999999999999"/>
    <n v="0.13603590600000001"/>
    <n v="0.16850000000000001"/>
    <s v="No"/>
    <m/>
    <m/>
  </r>
  <r>
    <x v="23"/>
    <n v="4"/>
    <n v="1"/>
    <n v="1"/>
    <n v="1"/>
    <n v="4.0999999999999996"/>
    <s v="4.1.1.1"/>
    <x v="23"/>
    <s v="Desmond, Michael; Muller, Michael; Ashktorab, Zahra; Dugan, Casey; Duesterwald, Evelyn; Brimijoin, Kristina; Finegan-Dollak, Catherine; Brachman, Michelle; Sharma, Aabhas; Joshi, Narendra Nath; Pan, Qian"/>
    <n v="2021"/>
    <s v="Communication"/>
    <s v="26th International Conference on Intelligent User Interfaces"/>
    <s v="Between-Subjects"/>
    <s v="Independent Samples"/>
    <s v="Label customer inquiries"/>
    <s v="Text"/>
    <s v="Text"/>
    <s v="No"/>
    <s v="No"/>
    <s v="No"/>
    <s v="No"/>
    <s v="Yes"/>
    <s v="No"/>
    <s v="Categoric"/>
    <s v="Categoric"/>
    <s v="Decide"/>
    <s v="Shallow"/>
    <s v="Text"/>
    <s v="Categorical"/>
    <s v="Shallow"/>
    <s v="Human"/>
    <s v="No"/>
    <s v="HAI = Weak assistance"/>
    <s v="No"/>
    <s v="Yes"/>
    <m/>
    <s v="Accuracy"/>
    <s v="Accuracy"/>
    <s v="Up"/>
    <n v="54"/>
    <n v="19"/>
    <n v="18"/>
    <s v="Crowdworkers"/>
    <s v="Crowdworkers"/>
    <s v="MTurk"/>
    <s v="No"/>
    <s v="Yes"/>
    <n v="0.72"/>
    <n v="0.44"/>
    <n v="0.79"/>
    <n v="0.72"/>
    <n v="0.44"/>
    <n v="0.79"/>
    <s v="Human"/>
    <n v="0.72"/>
    <n v="0.44"/>
    <n v="1"/>
    <n v="0.1"/>
    <n v="0"/>
    <n v="0.05"/>
    <n v="0.1"/>
    <n v="0"/>
    <s v="No"/>
    <s v="HAI = Weak assistance"/>
    <m/>
  </r>
  <r>
    <x v="23"/>
    <n v="4"/>
    <n v="1"/>
    <n v="2"/>
    <n v="1"/>
    <n v="4.0999999999999996"/>
    <s v="4.1.2.1"/>
    <x v="23"/>
    <s v="Desmond, Michael; Muller, Michael; Ashktorab, Zahra; Dugan, Casey; Duesterwald, Evelyn; Brimijoin, Kristina; Finegan-Dollak, Catherine; Brachman, Michelle; Sharma, Aabhas; Joshi, Narendra Nath; Pan, Qian"/>
    <n v="2021"/>
    <s v="Communication"/>
    <s v="26th International Conference on Intelligent User Interfaces"/>
    <s v="Between-Subjects"/>
    <s v="Independent Samples"/>
    <s v="Label customer inquiries"/>
    <s v="Text"/>
    <s v="Text"/>
    <s v="No"/>
    <s v="No"/>
    <s v="No"/>
    <s v="No"/>
    <s v="Yes"/>
    <s v="No"/>
    <s v="Categoric"/>
    <s v="Categoric"/>
    <s v="Decide"/>
    <s v="Shallow"/>
    <s v="Text"/>
    <s v="Categorical"/>
    <s v="Shallow"/>
    <s v="Human"/>
    <s v="No"/>
    <s v="HAI = Strong assistance"/>
    <s v="No"/>
    <s v="Yes"/>
    <m/>
    <s v="Accuracy"/>
    <s v="Accuracy"/>
    <s v="Up"/>
    <n v="54"/>
    <n v="19"/>
    <n v="17"/>
    <s v="Crowdworkers"/>
    <s v="Crowdworkers"/>
    <s v="MTurk"/>
    <s v="No"/>
    <s v="Yes"/>
    <n v="0.72"/>
    <n v="0.59"/>
    <n v="0.78"/>
    <n v="0.72"/>
    <n v="0.59"/>
    <n v="0.78"/>
    <s v="Human"/>
    <n v="0.72"/>
    <n v="0.59"/>
    <n v="1"/>
    <n v="0.1"/>
    <n v="0"/>
    <n v="0.05"/>
    <n v="0.1"/>
    <n v="0"/>
    <s v="No"/>
    <s v="HAI = Strong assistance"/>
    <m/>
  </r>
  <r>
    <x v="24"/>
    <n v="75"/>
    <n v="2"/>
    <n v="1"/>
    <n v="1"/>
    <n v="75.2"/>
    <s v="75.2.1.1"/>
    <x v="24"/>
    <s v="Lu, Zhuoran; Li, Patrick; Wang, Weilong; Yin, Ming"/>
    <n v="2022"/>
    <s v="Communication"/>
    <s v="Proceedings of the ACM on Human-Computer Interaction"/>
    <s v="Between-Subjects"/>
    <s v="Independent Samples"/>
    <s v="Determine credibility of news articles"/>
    <s v="Image, Text"/>
    <s v="Multiple"/>
    <s v="No"/>
    <s v="No"/>
    <s v="Yes"/>
    <s v="No"/>
    <s v="Yes"/>
    <s v="No"/>
    <s v="Binary"/>
    <s v="Binary"/>
    <s v="Decide"/>
    <s v="Shallow"/>
    <s v="Image, Text"/>
    <s v="Binary"/>
    <s v="Shallow"/>
    <s v="Human"/>
    <s v="No"/>
    <s v="With social influence, HAI = Before"/>
    <s v="No"/>
    <s v="No"/>
    <m/>
    <s v="Accuracy"/>
    <s v="Accuracy"/>
    <s v="Up"/>
    <n v="1098"/>
    <n v="205"/>
    <n v="210"/>
    <s v="Crowdworkers"/>
    <s v="Crowdworkers"/>
    <s v="MTurk"/>
    <s v="No"/>
    <s v="Yes"/>
    <n v="0.51480000000000004"/>
    <n v="0.75"/>
    <n v="0.55249999999999999"/>
    <n v="0.51480000000000004"/>
    <n v="0.75"/>
    <n v="0.55249999999999999"/>
    <s v="AI"/>
    <n v="0.75"/>
    <n v="0.51480000000000004"/>
    <n v="0"/>
    <n v="0.20250000000000001"/>
    <n v="0"/>
    <n v="0.20599999999999999"/>
    <n v="0"/>
    <n v="0.20250000000000001"/>
    <s v="No"/>
    <m/>
    <m/>
  </r>
  <r>
    <x v="24"/>
    <n v="75"/>
    <n v="2"/>
    <n v="3"/>
    <n v="1"/>
    <n v="75.2"/>
    <s v="75.2.3.1"/>
    <x v="24"/>
    <s v="Lu, Zhuoran; Li, Patrick; Wang, Weilong; Yin, Ming"/>
    <n v="2022"/>
    <s v="Communication"/>
    <s v="Proceedings of the ACM on Human-Computer Interaction"/>
    <s v="Between-Subjects"/>
    <s v="Independent Samples"/>
    <s v="Determine credibility of news articles"/>
    <s v="Image, Text"/>
    <s v="Multiple"/>
    <s v="No"/>
    <s v="No"/>
    <s v="Yes"/>
    <s v="No"/>
    <s v="Yes"/>
    <s v="No"/>
    <s v="Binary"/>
    <s v="Binary"/>
    <s v="Decide"/>
    <s v="Shallow"/>
    <s v="Image, Text"/>
    <s v="Binary"/>
    <s v="Shallow"/>
    <s v="Human"/>
    <s v="No"/>
    <s v="No social influence, HAI = Before"/>
    <s v="No"/>
    <s v="No"/>
    <m/>
    <s v="Accuracy"/>
    <s v="Accuracy"/>
    <s v="Up"/>
    <n v="1098"/>
    <n v="156"/>
    <n v="167"/>
    <s v="Crowdworkers"/>
    <s v="Crowdworkers"/>
    <s v="MTurk"/>
    <s v="No"/>
    <s v="Yes"/>
    <n v="0.53920000000000001"/>
    <n v="0.75"/>
    <n v="0.58309999999999995"/>
    <n v="0.53920000000000001"/>
    <n v="0.75"/>
    <n v="0.58309999999999995"/>
    <s v="AI"/>
    <n v="0.75"/>
    <n v="0.53920000000000001"/>
    <n v="0"/>
    <n v="0.20230000000000001"/>
    <n v="0"/>
    <n v="0.17730000000000001"/>
    <n v="0"/>
    <n v="0.20230000000000001"/>
    <s v="No"/>
    <m/>
    <m/>
  </r>
  <r>
    <x v="24"/>
    <n v="75"/>
    <n v="2"/>
    <n v="4"/>
    <n v="1"/>
    <n v="75.2"/>
    <s v="75.2.4.1"/>
    <x v="24"/>
    <s v="Lu, Zhuoran; Li, Patrick; Wang, Weilong; Yin, Ming"/>
    <n v="2022"/>
    <s v="Communication"/>
    <s v="Proceedings of the ACM on Human-Computer Interaction"/>
    <s v="Between-Subjects"/>
    <s v="Independent Samples"/>
    <s v="Determine credibility of news articles"/>
    <s v="Image, Text"/>
    <s v="Multiple"/>
    <s v="No"/>
    <s v="No"/>
    <s v="Yes"/>
    <s v="No"/>
    <s v="Yes"/>
    <s v="No"/>
    <s v="Binary"/>
    <s v="Binary"/>
    <s v="Decide"/>
    <s v="Shallow"/>
    <s v="Image, Text"/>
    <s v="Binary"/>
    <s v="Shallow"/>
    <s v="Human"/>
    <s v="No"/>
    <s v="No social influence, HAI = After"/>
    <s v="No"/>
    <s v="No"/>
    <m/>
    <s v="Accuracy"/>
    <s v="Accuracy"/>
    <s v="Up"/>
    <n v="1098"/>
    <n v="156"/>
    <n v="163"/>
    <s v="Crowdworkers"/>
    <s v="Crowdworkers"/>
    <s v="MTurk"/>
    <s v="No"/>
    <s v="Yes"/>
    <n v="0.53920000000000001"/>
    <n v="0.75"/>
    <n v="0.60409999999999997"/>
    <n v="0.53920000000000001"/>
    <n v="0.75"/>
    <n v="0.60409999999999997"/>
    <s v="AI"/>
    <n v="0.75"/>
    <n v="0.53920000000000001"/>
    <n v="0"/>
    <n v="0.20230000000000001"/>
    <n v="0"/>
    <n v="0.20380000000000001"/>
    <n v="0"/>
    <n v="0.20230000000000001"/>
    <s v="No"/>
    <m/>
    <m/>
  </r>
  <r>
    <x v="24"/>
    <n v="75"/>
    <n v="1"/>
    <n v="1"/>
    <n v="1"/>
    <n v="75.099999999999994"/>
    <s v="75.1.1.1"/>
    <x v="24"/>
    <s v="Lu, Zhuoran; Li, Patrick; Wang, Weilong; Yin, Ming"/>
    <n v="2022"/>
    <s v="Communication"/>
    <s v="Proceedings of the ACM on Human-Computer Interaction"/>
    <s v="Between-Subjects"/>
    <s v="Independent Samples"/>
    <s v="Determine credibility of news articles"/>
    <s v="Text"/>
    <s v="Text"/>
    <s v="No"/>
    <s v="No"/>
    <s v="No"/>
    <s v="No"/>
    <s v="Yes"/>
    <s v="No"/>
    <s v="Binary"/>
    <s v="Binary"/>
    <s v="Decide"/>
    <s v="Shallow"/>
    <s v="Text"/>
    <s v="Binary"/>
    <s v="Shallow"/>
    <s v="Human"/>
    <s v="No"/>
    <s v="H = Control, HAI = Before"/>
    <s v="No"/>
    <s v="No"/>
    <m/>
    <s v="Accuracy"/>
    <s v="Accuracy"/>
    <s v="Up"/>
    <n v="359"/>
    <n v="182"/>
    <n v="177"/>
    <s v="Crowdworkers"/>
    <s v="Crowdworkers"/>
    <s v="MTurk"/>
    <s v="No"/>
    <s v="Yes"/>
    <n v="0.55979999999999996"/>
    <n v="0.75"/>
    <n v="0.5655"/>
    <n v="0.55979999999999996"/>
    <n v="0.75"/>
    <n v="0.5655"/>
    <s v="AI"/>
    <n v="0.75"/>
    <n v="0.55979999999999996"/>
    <n v="0"/>
    <n v="0.1754"/>
    <n v="0"/>
    <n v="0.187"/>
    <n v="0"/>
    <n v="0.1754"/>
    <s v="No"/>
    <m/>
    <m/>
  </r>
  <r>
    <x v="25"/>
    <n v="81"/>
    <n v="1"/>
    <n v="1"/>
    <n v="1"/>
    <n v="1.1000000000000001"/>
    <s v="Lippert_2024_1"/>
    <x v="25"/>
    <s v="Lippert, Steffen; Dreber, Anna; Johannesson, Magnus; Tierney, Warren; Cyrus-Lai, Wilson; Uhlmann, Eric Luis; Pfeiffer, Thomas"/>
    <n v="2024"/>
    <s v="Communication"/>
    <s v="Royal Society Open Science"/>
    <s v="Between-Subjects"/>
    <s v="Dependent Samples"/>
    <s v="Predicting behavioral science study outcomes"/>
    <s v="Text"/>
    <s v="Text"/>
    <s v="No"/>
    <s v="No"/>
    <s v="No"/>
    <s v="Yes"/>
    <s v="Yes"/>
    <s v="No"/>
    <s v="Categoric"/>
    <s v="Categoric"/>
    <s v="Decide"/>
    <s v="Deep"/>
    <s v="Continuous"/>
    <s v="Continuous"/>
    <s v="Deep"/>
    <s v="Human"/>
    <s v="No"/>
    <s v="Human alone, AI alone, Human-AI collaboration"/>
    <s v="Yes"/>
    <s v="Yes"/>
    <s v="Text-based explanations"/>
    <s v="Accuracy"/>
    <s v="Accuracy"/>
    <s v="Up"/>
    <n v="1"/>
    <n v="119"/>
    <n v="223"/>
    <s v="Experts"/>
    <s v="Specialists (Expert)"/>
    <s v="Academic research study"/>
    <s v="Yes"/>
    <s v="No"/>
    <n v="0.87"/>
    <n v="0.89"/>
    <n v="0.92"/>
    <n v="0.87"/>
    <n v="0.89"/>
    <n v="0.92"/>
    <s v="AI"/>
    <n v="0.89"/>
    <n v="0.87"/>
    <n v="1"/>
    <n v="0.24"/>
    <n v="0"/>
    <n v="0.23"/>
    <n v="0"/>
    <n v="0.24"/>
    <s v="Yes"/>
    <s v="Performance measured as correlation between forecasted and actual effect sizes"/>
    <s v="Human-AI collaboration outperformed both humans and AI alone"/>
  </r>
  <r>
    <x v="26"/>
    <n v="67"/>
    <n v="1"/>
    <n v="1"/>
    <n v="1"/>
    <n v="67.099999999999994"/>
    <s v="79.1.1.1"/>
    <x v="26"/>
    <s v="Vodrahalli, Kailas; Daneshjou, Roxana; Gerstenberg, Tobias; Zou, James"/>
    <n v="2022"/>
    <s v="Communication"/>
    <m/>
    <s v="Within-Subjects"/>
    <s v="Dependent Samples"/>
    <m/>
    <s v="Image"/>
    <s v="Image"/>
    <s v="No"/>
    <s v="No"/>
    <s v="Yes"/>
    <s v="No"/>
    <s v="No"/>
    <s v="No"/>
    <s v="Binary"/>
    <s v="Binary"/>
    <s v="Decide"/>
    <s v="Wizard of Oz"/>
    <s v="Image"/>
    <s v="Continuous"/>
    <s v="Wizard of Oz"/>
    <s v="Human"/>
    <s v="No"/>
    <m/>
    <s v="No"/>
    <s v="Yes"/>
    <m/>
    <s v="Accuracy"/>
    <s v="Accuracy"/>
    <s v="Up"/>
    <n v="278"/>
    <n v="278"/>
    <n v="278"/>
    <s v="Crowdworkers"/>
    <s v="Crowdworkers"/>
    <s v="Prolific"/>
    <s v="No"/>
    <s v="Yes"/>
    <n v="0.65469999999999995"/>
    <n v="0.78590000000000004"/>
    <n v="0.74590000000000001"/>
    <n v="0.65469999999999995"/>
    <n v="0.78590000000000004"/>
    <n v="0.74590000000000001"/>
    <s v="AI"/>
    <n v="0.78590000000000004"/>
    <n v="0.65469999999999995"/>
    <n v="0"/>
    <n v="0.11269999999999999"/>
    <n v="0.124"/>
    <n v="0.1069"/>
    <n v="0.12397672"/>
    <n v="0.11269999999999999"/>
    <s v="No"/>
    <s v="Concurrent, AI, HAI = A, Noise = 155"/>
    <m/>
  </r>
  <r>
    <x v="26"/>
    <n v="67"/>
    <n v="2"/>
    <n v="1"/>
    <n v="1"/>
    <n v="67.2"/>
    <s v="79.2.1.1"/>
    <x v="26"/>
    <s v="Vodrahalli, Kailas; Daneshjou, Roxana; Gerstenberg, Tobias; Zou, James"/>
    <n v="2022"/>
    <s v="Communication"/>
    <m/>
    <s v="Within-Subjects"/>
    <s v="Dependent Samples"/>
    <m/>
    <s v="Image"/>
    <s v="Image"/>
    <s v="No"/>
    <s v="No"/>
    <s v="Yes"/>
    <s v="No"/>
    <s v="No"/>
    <s v="No"/>
    <s v="Binary"/>
    <s v="Binary"/>
    <s v="Decide"/>
    <s v="Wizard of Oz"/>
    <s v="Image"/>
    <s v="Continuous"/>
    <s v="Wizard of Oz"/>
    <s v="Human"/>
    <s v="No"/>
    <m/>
    <s v="No"/>
    <s v="Yes"/>
    <m/>
    <s v="Accuracy"/>
    <s v="Accuracy"/>
    <s v="Up"/>
    <n v="79"/>
    <n v="79"/>
    <n v="79"/>
    <s v="Crowdworkers"/>
    <s v="Crowdworkers"/>
    <s v="Prolific"/>
    <s v="No"/>
    <s v="Yes"/>
    <n v="0.70730000000000004"/>
    <n v="0.76980000000000004"/>
    <n v="0.77139999999999997"/>
    <n v="0.70730000000000004"/>
    <n v="0.76980000000000004"/>
    <n v="0.77139999999999997"/>
    <s v="AI"/>
    <n v="0.76980000000000004"/>
    <n v="0.70730000000000004"/>
    <n v="1"/>
    <n v="0.11"/>
    <n v="0.1182"/>
    <n v="9.8599999999999993E-2"/>
    <n v="0.11820716000000001"/>
    <n v="0.11"/>
    <s v="No"/>
    <s v="Concurrent, AI, HAI = A, Noise = 170"/>
    <m/>
  </r>
  <r>
    <x v="26"/>
    <n v="67"/>
    <n v="5"/>
    <n v="1"/>
    <n v="1"/>
    <n v="67.5"/>
    <s v="79.5.1.1"/>
    <x v="26"/>
    <s v="Vodrahalli, Kailas; Daneshjou, Roxana; Gerstenberg, Tobias; Zou, James"/>
    <n v="2022"/>
    <s v="Communication"/>
    <m/>
    <s v="Within-Subjects"/>
    <s v="Dependent Samples"/>
    <m/>
    <s v="Image"/>
    <s v="Image"/>
    <s v="No"/>
    <s v="No"/>
    <s v="Yes"/>
    <s v="No"/>
    <s v="No"/>
    <s v="No"/>
    <s v="Binary"/>
    <s v="Binary"/>
    <s v="Decide"/>
    <s v="Deep"/>
    <s v="Image"/>
    <s v="Continuous"/>
    <s v="Deep"/>
    <s v="Human"/>
    <s v="No"/>
    <m/>
    <s v="No"/>
    <s v="Yes"/>
    <m/>
    <s v="Accuracy"/>
    <s v="Accuracy"/>
    <s v="Up"/>
    <n v="20"/>
    <n v="20"/>
    <n v="20"/>
    <s v="Dermatologists"/>
    <s v="Specialists (Expert)"/>
    <s v="Email Lists, Social Media"/>
    <s v="Yes"/>
    <s v="No"/>
    <n v="0.67920000000000003"/>
    <n v="0.83330000000000004"/>
    <n v="0.74170000000000003"/>
    <n v="0.67920000000000003"/>
    <n v="0.83330000000000004"/>
    <n v="0.74170000000000003"/>
    <s v="AI"/>
    <n v="0.83330000000000004"/>
    <n v="0.67920000000000003"/>
    <n v="0"/>
    <n v="7.3499999999999996E-2"/>
    <n v="0"/>
    <n v="6.2600000000000003E-2"/>
    <n v="0"/>
    <n v="7.3499999999999996E-2"/>
    <s v="No"/>
    <s v="Concurrent, AI, HAI = B, Noise = 0"/>
    <m/>
  </r>
  <r>
    <x v="26"/>
    <n v="67"/>
    <n v="4"/>
    <n v="1"/>
    <n v="1"/>
    <n v="67.400000000000006"/>
    <s v="79.4.1.1"/>
    <x v="26"/>
    <s v="Vodrahalli, Kailas; Daneshjou, Roxana; Gerstenberg, Tobias; Zou, James"/>
    <n v="2022"/>
    <s v="Communication"/>
    <m/>
    <s v="Within-Subjects"/>
    <s v="Dependent Samples"/>
    <m/>
    <s v="Categoric, Numeric"/>
    <s v="Multiple"/>
    <s v="Yes"/>
    <s v="No"/>
    <s v="No"/>
    <s v="Yes"/>
    <s v="No"/>
    <s v="No"/>
    <s v="Binary"/>
    <s v="Binary"/>
    <s v="Decide"/>
    <s v="Wizard of Oz"/>
    <s v="Categoric, Numeric"/>
    <s v="Continuous"/>
    <s v="Wizard of Oz"/>
    <s v="Human"/>
    <s v="No"/>
    <m/>
    <s v="No"/>
    <s v="Yes"/>
    <m/>
    <s v="Accuracy"/>
    <s v="Accuracy"/>
    <s v="Up"/>
    <n v="43"/>
    <n v="43"/>
    <n v="43"/>
    <s v="Crowdworkers"/>
    <s v="Crowdworkers"/>
    <s v="Prolific"/>
    <s v="No"/>
    <s v="Yes"/>
    <n v="0.70640000000000003"/>
    <n v="0.77249999999999996"/>
    <n v="0.73909999999999998"/>
    <n v="0.70640000000000003"/>
    <n v="0.77249999999999996"/>
    <n v="0.73909999999999998"/>
    <s v="AI"/>
    <n v="0.77249999999999996"/>
    <n v="0.70640000000000003"/>
    <n v="0"/>
    <n v="6.88E-2"/>
    <n v="7.4800000000000005E-2"/>
    <n v="7.8600000000000003E-2"/>
    <n v="7.4844069999999999E-2"/>
    <n v="6.88E-2"/>
    <s v="No"/>
    <s v="Concurrent, AI, HAI = B, Noise = 80"/>
    <m/>
  </r>
  <r>
    <x v="26"/>
    <n v="67"/>
    <n v="3"/>
    <n v="1"/>
    <n v="1"/>
    <n v="67.3"/>
    <s v="79.3.1.1"/>
    <x v="26"/>
    <s v="Vodrahalli, Kailas; Daneshjou, Roxana; Gerstenberg, Tobias; Zou, James"/>
    <n v="2022"/>
    <s v="Communication"/>
    <m/>
    <s v="Within-Subjects"/>
    <s v="Dependent Samples"/>
    <m/>
    <s v="Text"/>
    <s v="Text"/>
    <s v="No"/>
    <s v="No"/>
    <s v="No"/>
    <s v="No"/>
    <s v="Yes"/>
    <s v="No"/>
    <s v="Binary"/>
    <s v="Binary"/>
    <s v="Decide"/>
    <s v="Wizard of Oz"/>
    <s v="Text"/>
    <s v="Continuous"/>
    <s v="Wizard of Oz"/>
    <s v="Human"/>
    <s v="No"/>
    <m/>
    <s v="No"/>
    <s v="Yes"/>
    <m/>
    <s v="Accuracy"/>
    <s v="Accuracy"/>
    <s v="Up"/>
    <n v="147"/>
    <n v="147"/>
    <n v="147"/>
    <s v="Crowdworkers"/>
    <s v="Crowdworkers"/>
    <s v="Prolific"/>
    <s v="No"/>
    <s v="Yes"/>
    <n v="0.68589999999999995"/>
    <n v="0.78290000000000004"/>
    <n v="0.73799999999999999"/>
    <n v="0.68589999999999995"/>
    <n v="0.78290000000000004"/>
    <n v="0.73799999999999999"/>
    <s v="AI"/>
    <n v="0.78290000000000004"/>
    <n v="0.68589999999999995"/>
    <n v="0"/>
    <n v="0.1119"/>
    <n v="9.2999999999999999E-2"/>
    <n v="9.3200000000000005E-2"/>
    <n v="9.3023220000000004E-2"/>
    <n v="0.1119"/>
    <s v="No"/>
    <s v="Concurrent, AI, HAI = B, Noise = 95"/>
    <m/>
  </r>
  <r>
    <x v="27"/>
    <m/>
    <m/>
    <m/>
    <m/>
    <m/>
    <m/>
    <x v="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2" firstHeaderRow="1" firstDataRow="1" firstDataCol="1"/>
  <pivotFields count="65">
    <pivotField axis="axisRow" showAll="0">
      <items count="29">
        <item x="1"/>
        <item x="10"/>
        <item x="17"/>
        <item x="12"/>
        <item x="8"/>
        <item x="23"/>
        <item x="9"/>
        <item x="15"/>
        <item x="22"/>
        <item x="7"/>
        <item x="14"/>
        <item x="2"/>
        <item x="13"/>
        <item x="20"/>
        <item x="16"/>
        <item x="5"/>
        <item x="25"/>
        <item x="3"/>
        <item x="24"/>
        <item x="11"/>
        <item x="4"/>
        <item x="19"/>
        <item x="0"/>
        <item x="21"/>
        <item x="18"/>
        <item x="6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9">
        <item x="13"/>
        <item x="20"/>
        <item x="18"/>
        <item x="6"/>
        <item x="25"/>
        <item x="22"/>
        <item x="26"/>
        <item x="1"/>
        <item x="15"/>
        <item x="12"/>
        <item x="16"/>
        <item x="11"/>
        <item x="17"/>
        <item x="23"/>
        <item x="19"/>
        <item x="9"/>
        <item x="2"/>
        <item x="0"/>
        <item x="7"/>
        <item x="14"/>
        <item x="10"/>
        <item x="24"/>
        <item x="5"/>
        <item x="3"/>
        <item x="8"/>
        <item x="21"/>
        <item x="4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unt of Titl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79"/>
  <sheetViews>
    <sheetView tabSelected="1" topLeftCell="A268" workbookViewId="0">
      <selection activeCell="A228" sqref="A228:XFD228"/>
    </sheetView>
  </sheetViews>
  <sheetFormatPr defaultRowHeight="14.4" x14ac:dyDescent="0.55000000000000004"/>
  <cols>
    <col min="16" max="16" width="36" bestFit="1" customWidth="1"/>
    <col min="31" max="31" width="14.3125" bestFit="1" customWidth="1"/>
  </cols>
  <sheetData>
    <row r="1" spans="1:6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540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55000000000000004">
      <c r="A2" t="s">
        <v>65</v>
      </c>
      <c r="B2">
        <v>5</v>
      </c>
      <c r="C2">
        <v>1</v>
      </c>
      <c r="D2">
        <v>1</v>
      </c>
      <c r="E2">
        <v>1</v>
      </c>
      <c r="F2">
        <v>5.0999999999999996</v>
      </c>
      <c r="G2" t="s">
        <v>66</v>
      </c>
      <c r="H2" t="s">
        <v>67</v>
      </c>
      <c r="I2" t="s">
        <v>68</v>
      </c>
      <c r="J2">
        <v>2021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tr">
        <f>VLOOKUP(O2,Sheet3!$A$1:$B$22,2,0)</f>
        <v>Demand Forecasting</v>
      </c>
      <c r="Q2" t="s">
        <v>74</v>
      </c>
      <c r="R2" t="s">
        <v>75</v>
      </c>
      <c r="S2" t="s">
        <v>75</v>
      </c>
      <c r="T2" t="s">
        <v>75</v>
      </c>
      <c r="U2" t="s">
        <v>76</v>
      </c>
      <c r="V2" t="s">
        <v>75</v>
      </c>
      <c r="W2" t="s">
        <v>75</v>
      </c>
      <c r="X2" t="s">
        <v>74</v>
      </c>
      <c r="Y2" t="s">
        <v>74</v>
      </c>
      <c r="Z2" t="s">
        <v>77</v>
      </c>
      <c r="AA2" t="s">
        <v>78</v>
      </c>
      <c r="AB2" t="s">
        <v>74</v>
      </c>
      <c r="AC2" t="s">
        <v>74</v>
      </c>
      <c r="AD2" t="s">
        <v>545</v>
      </c>
      <c r="AE2" t="s">
        <v>79</v>
      </c>
      <c r="AF2" t="s">
        <v>75</v>
      </c>
      <c r="AG2" t="s">
        <v>80</v>
      </c>
      <c r="AH2" t="s">
        <v>75</v>
      </c>
      <c r="AI2" t="s">
        <v>75</v>
      </c>
      <c r="AK2" t="s">
        <v>81</v>
      </c>
      <c r="AL2" t="s">
        <v>82</v>
      </c>
      <c r="AM2" t="s">
        <v>83</v>
      </c>
      <c r="AN2">
        <v>1250</v>
      </c>
      <c r="AO2">
        <v>252</v>
      </c>
      <c r="AP2">
        <v>247</v>
      </c>
      <c r="AQ2" t="s">
        <v>84</v>
      </c>
      <c r="AR2" t="s">
        <v>84</v>
      </c>
      <c r="AS2" t="s">
        <v>85</v>
      </c>
      <c r="AT2" t="s">
        <v>75</v>
      </c>
      <c r="AU2" t="s">
        <v>76</v>
      </c>
      <c r="AV2">
        <v>330555</v>
      </c>
      <c r="AW2">
        <v>180000</v>
      </c>
      <c r="AX2">
        <v>232267</v>
      </c>
      <c r="AY2">
        <v>-330555</v>
      </c>
      <c r="AZ2">
        <v>-180000</v>
      </c>
      <c r="BA2">
        <v>-232267</v>
      </c>
      <c r="BB2" t="s">
        <v>86</v>
      </c>
      <c r="BC2">
        <v>-180000</v>
      </c>
      <c r="BD2">
        <v>-330555</v>
      </c>
      <c r="BE2">
        <v>0</v>
      </c>
      <c r="BF2">
        <v>122515</v>
      </c>
      <c r="BG2">
        <v>0</v>
      </c>
      <c r="BH2">
        <v>56580</v>
      </c>
      <c r="BI2">
        <v>0</v>
      </c>
      <c r="BJ2">
        <v>122515</v>
      </c>
      <c r="BK2" t="s">
        <v>75</v>
      </c>
      <c r="BL2" t="s">
        <v>80</v>
      </c>
    </row>
    <row r="3" spans="1:65" x14ac:dyDescent="0.55000000000000004">
      <c r="A3" t="s">
        <v>65</v>
      </c>
      <c r="B3">
        <v>5</v>
      </c>
      <c r="C3">
        <v>1</v>
      </c>
      <c r="D3">
        <v>2</v>
      </c>
      <c r="E3">
        <v>1</v>
      </c>
      <c r="F3">
        <v>5.0999999999999996</v>
      </c>
      <c r="G3" t="s">
        <v>87</v>
      </c>
      <c r="H3" t="s">
        <v>67</v>
      </c>
      <c r="I3" t="s">
        <v>68</v>
      </c>
      <c r="J3">
        <v>2021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tr">
        <f>VLOOKUP(O3,Sheet3!$A$1:$B$22,2,0)</f>
        <v>Demand Forecasting</v>
      </c>
      <c r="Q3" t="s">
        <v>74</v>
      </c>
      <c r="R3" t="s">
        <v>75</v>
      </c>
      <c r="S3" t="s">
        <v>75</v>
      </c>
      <c r="T3" t="s">
        <v>75</v>
      </c>
      <c r="U3" t="s">
        <v>76</v>
      </c>
      <c r="V3" t="s">
        <v>75</v>
      </c>
      <c r="W3" t="s">
        <v>75</v>
      </c>
      <c r="X3" t="s">
        <v>74</v>
      </c>
      <c r="Y3" t="s">
        <v>74</v>
      </c>
      <c r="Z3" t="s">
        <v>77</v>
      </c>
      <c r="AA3" t="s">
        <v>78</v>
      </c>
      <c r="AB3" t="s">
        <v>74</v>
      </c>
      <c r="AC3" t="s">
        <v>74</v>
      </c>
      <c r="AD3" t="s">
        <v>545</v>
      </c>
      <c r="AE3" t="s">
        <v>79</v>
      </c>
      <c r="AF3" t="s">
        <v>75</v>
      </c>
      <c r="AG3" t="s">
        <v>88</v>
      </c>
      <c r="AH3" t="s">
        <v>75</v>
      </c>
      <c r="AI3" t="s">
        <v>75</v>
      </c>
      <c r="AK3" t="s">
        <v>81</v>
      </c>
      <c r="AL3" t="s">
        <v>82</v>
      </c>
      <c r="AM3" t="s">
        <v>83</v>
      </c>
      <c r="AN3">
        <v>1250</v>
      </c>
      <c r="AO3">
        <v>252</v>
      </c>
      <c r="AP3">
        <v>256</v>
      </c>
      <c r="AQ3" t="s">
        <v>84</v>
      </c>
      <c r="AR3" t="s">
        <v>84</v>
      </c>
      <c r="AS3" t="s">
        <v>85</v>
      </c>
      <c r="AT3" t="s">
        <v>75</v>
      </c>
      <c r="AU3" t="s">
        <v>76</v>
      </c>
      <c r="AV3">
        <v>330555</v>
      </c>
      <c r="AW3">
        <v>180000</v>
      </c>
      <c r="AX3">
        <v>234453</v>
      </c>
      <c r="AY3">
        <v>-330555</v>
      </c>
      <c r="AZ3">
        <v>-180000</v>
      </c>
      <c r="BA3">
        <v>-234453</v>
      </c>
      <c r="BB3" t="s">
        <v>86</v>
      </c>
      <c r="BC3">
        <v>-180000</v>
      </c>
      <c r="BD3">
        <v>-330555</v>
      </c>
      <c r="BE3">
        <v>0</v>
      </c>
      <c r="BF3">
        <v>122515</v>
      </c>
      <c r="BG3">
        <v>0</v>
      </c>
      <c r="BH3">
        <v>77178</v>
      </c>
      <c r="BI3">
        <v>0</v>
      </c>
      <c r="BJ3">
        <v>122515</v>
      </c>
      <c r="BK3" t="s">
        <v>75</v>
      </c>
      <c r="BL3" t="s">
        <v>88</v>
      </c>
    </row>
    <row r="4" spans="1:65" x14ac:dyDescent="0.55000000000000004">
      <c r="A4" t="s">
        <v>65</v>
      </c>
      <c r="B4">
        <v>5</v>
      </c>
      <c r="C4">
        <v>1</v>
      </c>
      <c r="D4">
        <v>3</v>
      </c>
      <c r="E4">
        <v>1</v>
      </c>
      <c r="F4">
        <v>5.0999999999999996</v>
      </c>
      <c r="G4" t="s">
        <v>89</v>
      </c>
      <c r="H4" t="s">
        <v>67</v>
      </c>
      <c r="I4" t="s">
        <v>68</v>
      </c>
      <c r="J4">
        <v>2021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tr">
        <f>VLOOKUP(O4,Sheet3!$A$1:$B$22,2,0)</f>
        <v>Demand Forecasting</v>
      </c>
      <c r="Q4" t="s">
        <v>74</v>
      </c>
      <c r="R4" t="s">
        <v>75</v>
      </c>
      <c r="S4" t="s">
        <v>75</v>
      </c>
      <c r="T4" t="s">
        <v>75</v>
      </c>
      <c r="U4" t="s">
        <v>76</v>
      </c>
      <c r="V4" t="s">
        <v>75</v>
      </c>
      <c r="W4" t="s">
        <v>75</v>
      </c>
      <c r="X4" t="s">
        <v>74</v>
      </c>
      <c r="Y4" t="s">
        <v>74</v>
      </c>
      <c r="Z4" t="s">
        <v>77</v>
      </c>
      <c r="AA4" t="s">
        <v>78</v>
      </c>
      <c r="AB4" t="s">
        <v>74</v>
      </c>
      <c r="AC4" t="s">
        <v>74</v>
      </c>
      <c r="AD4" t="s">
        <v>545</v>
      </c>
      <c r="AE4" t="s">
        <v>79</v>
      </c>
      <c r="AF4" t="s">
        <v>75</v>
      </c>
      <c r="AG4" t="s">
        <v>90</v>
      </c>
      <c r="AH4" t="s">
        <v>76</v>
      </c>
      <c r="AI4" t="s">
        <v>75</v>
      </c>
      <c r="AJ4" t="s">
        <v>91</v>
      </c>
      <c r="AK4" t="s">
        <v>81</v>
      </c>
      <c r="AL4" t="s">
        <v>82</v>
      </c>
      <c r="AM4" t="s">
        <v>83</v>
      </c>
      <c r="AN4">
        <v>1250</v>
      </c>
      <c r="AO4">
        <v>252</v>
      </c>
      <c r="AP4">
        <v>248</v>
      </c>
      <c r="AQ4" t="s">
        <v>84</v>
      </c>
      <c r="AR4" t="s">
        <v>84</v>
      </c>
      <c r="AS4" t="s">
        <v>85</v>
      </c>
      <c r="AT4" t="s">
        <v>75</v>
      </c>
      <c r="AU4" t="s">
        <v>76</v>
      </c>
      <c r="AV4">
        <v>330555</v>
      </c>
      <c r="AW4">
        <v>180000</v>
      </c>
      <c r="AX4">
        <v>232943</v>
      </c>
      <c r="AY4">
        <v>-330555</v>
      </c>
      <c r="AZ4">
        <v>-180000</v>
      </c>
      <c r="BA4">
        <v>-232943</v>
      </c>
      <c r="BB4" t="s">
        <v>86</v>
      </c>
      <c r="BC4">
        <v>-180000</v>
      </c>
      <c r="BD4">
        <v>-330555</v>
      </c>
      <c r="BE4">
        <v>0</v>
      </c>
      <c r="BF4">
        <v>122515</v>
      </c>
      <c r="BG4">
        <v>0</v>
      </c>
      <c r="BH4">
        <v>81889</v>
      </c>
      <c r="BI4">
        <v>0</v>
      </c>
      <c r="BJ4">
        <v>122515</v>
      </c>
      <c r="BK4" t="s">
        <v>75</v>
      </c>
      <c r="BL4" t="s">
        <v>90</v>
      </c>
    </row>
    <row r="5" spans="1:65" x14ac:dyDescent="0.55000000000000004">
      <c r="A5" t="s">
        <v>65</v>
      </c>
      <c r="B5">
        <v>5</v>
      </c>
      <c r="C5">
        <v>1</v>
      </c>
      <c r="D5">
        <v>4</v>
      </c>
      <c r="E5">
        <v>1</v>
      </c>
      <c r="F5">
        <v>5.0999999999999996</v>
      </c>
      <c r="G5" t="s">
        <v>92</v>
      </c>
      <c r="H5" t="s">
        <v>67</v>
      </c>
      <c r="I5" t="s">
        <v>68</v>
      </c>
      <c r="J5">
        <v>2021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tr">
        <f>VLOOKUP(O5,Sheet3!$A$1:$B$22,2,0)</f>
        <v>Demand Forecasting</v>
      </c>
      <c r="Q5" t="s">
        <v>74</v>
      </c>
      <c r="R5" t="s">
        <v>75</v>
      </c>
      <c r="S5" t="s">
        <v>75</v>
      </c>
      <c r="T5" t="s">
        <v>75</v>
      </c>
      <c r="U5" t="s">
        <v>76</v>
      </c>
      <c r="V5" t="s">
        <v>75</v>
      </c>
      <c r="W5" t="s">
        <v>75</v>
      </c>
      <c r="X5" t="s">
        <v>74</v>
      </c>
      <c r="Y5" t="s">
        <v>74</v>
      </c>
      <c r="Z5" t="s">
        <v>77</v>
      </c>
      <c r="AA5" t="s">
        <v>78</v>
      </c>
      <c r="AB5" t="s">
        <v>74</v>
      </c>
      <c r="AC5" t="s">
        <v>74</v>
      </c>
      <c r="AD5" t="s">
        <v>545</v>
      </c>
      <c r="AE5" t="s">
        <v>79</v>
      </c>
      <c r="AF5" t="s">
        <v>75</v>
      </c>
      <c r="AG5" t="s">
        <v>93</v>
      </c>
      <c r="AH5" t="s">
        <v>76</v>
      </c>
      <c r="AI5" t="s">
        <v>75</v>
      </c>
      <c r="AJ5" t="s">
        <v>91</v>
      </c>
      <c r="AK5" t="s">
        <v>81</v>
      </c>
      <c r="AL5" t="s">
        <v>82</v>
      </c>
      <c r="AM5" t="s">
        <v>83</v>
      </c>
      <c r="AN5">
        <v>1250</v>
      </c>
      <c r="AO5">
        <v>252</v>
      </c>
      <c r="AP5">
        <v>247</v>
      </c>
      <c r="AQ5" t="s">
        <v>84</v>
      </c>
      <c r="AR5" t="s">
        <v>84</v>
      </c>
      <c r="AS5" t="s">
        <v>85</v>
      </c>
      <c r="AT5" t="s">
        <v>75</v>
      </c>
      <c r="AU5" t="s">
        <v>76</v>
      </c>
      <c r="AV5">
        <v>330555</v>
      </c>
      <c r="AW5">
        <v>180000</v>
      </c>
      <c r="AX5">
        <v>248016</v>
      </c>
      <c r="AY5">
        <v>-330555</v>
      </c>
      <c r="AZ5">
        <v>-180000</v>
      </c>
      <c r="BA5">
        <v>-248016</v>
      </c>
      <c r="BB5" t="s">
        <v>86</v>
      </c>
      <c r="BC5">
        <v>-180000</v>
      </c>
      <c r="BD5">
        <v>-330555</v>
      </c>
      <c r="BE5">
        <v>0</v>
      </c>
      <c r="BF5">
        <v>122515</v>
      </c>
      <c r="BG5">
        <v>0</v>
      </c>
      <c r="BH5">
        <v>82411</v>
      </c>
      <c r="BI5">
        <v>0</v>
      </c>
      <c r="BJ5">
        <v>122515</v>
      </c>
      <c r="BK5" t="s">
        <v>75</v>
      </c>
      <c r="BL5" t="s">
        <v>93</v>
      </c>
    </row>
    <row r="6" spans="1:65" x14ac:dyDescent="0.55000000000000004">
      <c r="A6" t="s">
        <v>65</v>
      </c>
      <c r="B6">
        <v>5</v>
      </c>
      <c r="C6">
        <v>2</v>
      </c>
      <c r="D6">
        <v>1</v>
      </c>
      <c r="E6">
        <v>1</v>
      </c>
      <c r="F6">
        <v>5.2</v>
      </c>
      <c r="G6" t="s">
        <v>94</v>
      </c>
      <c r="H6" t="s">
        <v>67</v>
      </c>
      <c r="I6" t="s">
        <v>68</v>
      </c>
      <c r="J6">
        <v>2021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  <c r="P6" t="str">
        <f>VLOOKUP(O6,Sheet3!$A$1:$B$22,2,0)</f>
        <v>Demand Forecasting</v>
      </c>
      <c r="Q6" t="s">
        <v>74</v>
      </c>
      <c r="R6" t="s">
        <v>75</v>
      </c>
      <c r="S6" t="s">
        <v>75</v>
      </c>
      <c r="T6" t="s">
        <v>75</v>
      </c>
      <c r="U6" t="s">
        <v>76</v>
      </c>
      <c r="V6" t="s">
        <v>75</v>
      </c>
      <c r="W6" t="s">
        <v>75</v>
      </c>
      <c r="X6" t="s">
        <v>74</v>
      </c>
      <c r="Y6" t="s">
        <v>74</v>
      </c>
      <c r="Z6" t="s">
        <v>77</v>
      </c>
      <c r="AA6" t="s">
        <v>78</v>
      </c>
      <c r="AB6" t="s">
        <v>74</v>
      </c>
      <c r="AC6" t="s">
        <v>74</v>
      </c>
      <c r="AD6" t="s">
        <v>545</v>
      </c>
      <c r="AE6" t="s">
        <v>79</v>
      </c>
      <c r="AF6" t="s">
        <v>75</v>
      </c>
      <c r="AG6" t="s">
        <v>80</v>
      </c>
      <c r="AH6" t="s">
        <v>75</v>
      </c>
      <c r="AI6" t="s">
        <v>75</v>
      </c>
      <c r="AK6" t="s">
        <v>81</v>
      </c>
      <c r="AL6" t="s">
        <v>82</v>
      </c>
      <c r="AM6" t="s">
        <v>83</v>
      </c>
      <c r="AN6">
        <v>750</v>
      </c>
      <c r="AO6">
        <v>152</v>
      </c>
      <c r="AP6">
        <v>147</v>
      </c>
      <c r="AQ6" t="s">
        <v>84</v>
      </c>
      <c r="AR6" t="s">
        <v>84</v>
      </c>
      <c r="AS6" t="s">
        <v>85</v>
      </c>
      <c r="AT6" t="s">
        <v>75</v>
      </c>
      <c r="AU6" t="s">
        <v>76</v>
      </c>
      <c r="AV6">
        <v>31145</v>
      </c>
      <c r="AW6">
        <v>18000</v>
      </c>
      <c r="AX6">
        <v>22864</v>
      </c>
      <c r="AY6">
        <v>-31145</v>
      </c>
      <c r="AZ6">
        <v>-18000</v>
      </c>
      <c r="BA6">
        <v>-22864</v>
      </c>
      <c r="BB6" t="s">
        <v>86</v>
      </c>
      <c r="BC6">
        <v>-18000</v>
      </c>
      <c r="BD6">
        <v>-31145</v>
      </c>
      <c r="BE6">
        <v>0</v>
      </c>
      <c r="BF6">
        <v>11303</v>
      </c>
      <c r="BG6">
        <v>0</v>
      </c>
      <c r="BH6">
        <v>5927</v>
      </c>
      <c r="BI6">
        <v>0</v>
      </c>
      <c r="BJ6">
        <v>11303</v>
      </c>
      <c r="BK6" t="s">
        <v>75</v>
      </c>
      <c r="BL6" t="s">
        <v>80</v>
      </c>
    </row>
    <row r="7" spans="1:65" x14ac:dyDescent="0.55000000000000004">
      <c r="A7" t="s">
        <v>65</v>
      </c>
      <c r="B7">
        <v>5</v>
      </c>
      <c r="C7">
        <v>2</v>
      </c>
      <c r="D7">
        <v>2</v>
      </c>
      <c r="E7">
        <v>1</v>
      </c>
      <c r="F7">
        <v>5.2</v>
      </c>
      <c r="G7" t="s">
        <v>95</v>
      </c>
      <c r="H7" t="s">
        <v>67</v>
      </c>
      <c r="I7" t="s">
        <v>68</v>
      </c>
      <c r="J7">
        <v>2021</v>
      </c>
      <c r="K7" t="s">
        <v>69</v>
      </c>
      <c r="L7" t="s">
        <v>70</v>
      </c>
      <c r="M7" t="s">
        <v>71</v>
      </c>
      <c r="N7" t="s">
        <v>72</v>
      </c>
      <c r="O7" t="s">
        <v>73</v>
      </c>
      <c r="P7" t="str">
        <f>VLOOKUP(O7,Sheet3!$A$1:$B$22,2,0)</f>
        <v>Demand Forecasting</v>
      </c>
      <c r="Q7" t="s">
        <v>74</v>
      </c>
      <c r="R7" t="s">
        <v>75</v>
      </c>
      <c r="S7" t="s">
        <v>75</v>
      </c>
      <c r="T7" t="s">
        <v>75</v>
      </c>
      <c r="U7" t="s">
        <v>76</v>
      </c>
      <c r="V7" t="s">
        <v>75</v>
      </c>
      <c r="W7" t="s">
        <v>75</v>
      </c>
      <c r="X7" t="s">
        <v>74</v>
      </c>
      <c r="Y7" t="s">
        <v>74</v>
      </c>
      <c r="Z7" t="s">
        <v>77</v>
      </c>
      <c r="AA7" t="s">
        <v>78</v>
      </c>
      <c r="AB7" t="s">
        <v>74</v>
      </c>
      <c r="AC7" t="s">
        <v>74</v>
      </c>
      <c r="AD7" t="s">
        <v>545</v>
      </c>
      <c r="AE7" t="s">
        <v>79</v>
      </c>
      <c r="AF7" t="s">
        <v>75</v>
      </c>
      <c r="AG7" t="s">
        <v>88</v>
      </c>
      <c r="AH7" t="s">
        <v>75</v>
      </c>
      <c r="AI7" t="s">
        <v>75</v>
      </c>
      <c r="AK7" t="s">
        <v>81</v>
      </c>
      <c r="AL7" t="s">
        <v>82</v>
      </c>
      <c r="AM7" t="s">
        <v>83</v>
      </c>
      <c r="AN7">
        <v>750</v>
      </c>
      <c r="AO7">
        <v>152</v>
      </c>
      <c r="AP7">
        <v>151</v>
      </c>
      <c r="AQ7" t="s">
        <v>84</v>
      </c>
      <c r="AR7" t="s">
        <v>84</v>
      </c>
      <c r="AS7" t="s">
        <v>85</v>
      </c>
      <c r="AT7" t="s">
        <v>75</v>
      </c>
      <c r="AU7" t="s">
        <v>76</v>
      </c>
      <c r="AV7">
        <v>31145</v>
      </c>
      <c r="AW7">
        <v>18000</v>
      </c>
      <c r="AX7">
        <v>23053</v>
      </c>
      <c r="AY7">
        <v>-31145</v>
      </c>
      <c r="AZ7">
        <v>-18000</v>
      </c>
      <c r="BA7">
        <v>-23053</v>
      </c>
      <c r="BB7" t="s">
        <v>86</v>
      </c>
      <c r="BC7">
        <v>-18000</v>
      </c>
      <c r="BD7">
        <v>-31145</v>
      </c>
      <c r="BE7">
        <v>0</v>
      </c>
      <c r="BF7">
        <v>11303</v>
      </c>
      <c r="BG7">
        <v>0</v>
      </c>
      <c r="BH7">
        <v>6341</v>
      </c>
      <c r="BI7">
        <v>0</v>
      </c>
      <c r="BJ7">
        <v>11303</v>
      </c>
      <c r="BK7" t="s">
        <v>75</v>
      </c>
      <c r="BL7" t="s">
        <v>88</v>
      </c>
    </row>
    <row r="8" spans="1:65" x14ac:dyDescent="0.55000000000000004">
      <c r="A8" t="s">
        <v>65</v>
      </c>
      <c r="B8">
        <v>5</v>
      </c>
      <c r="C8">
        <v>2</v>
      </c>
      <c r="D8">
        <v>3</v>
      </c>
      <c r="E8">
        <v>1</v>
      </c>
      <c r="F8">
        <v>5.2</v>
      </c>
      <c r="G8" t="s">
        <v>96</v>
      </c>
      <c r="H8" t="s">
        <v>67</v>
      </c>
      <c r="I8" t="s">
        <v>68</v>
      </c>
      <c r="J8">
        <v>2021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  <c r="P8" t="str">
        <f>VLOOKUP(O8,Sheet3!$A$1:$B$22,2,0)</f>
        <v>Demand Forecasting</v>
      </c>
      <c r="Q8" t="s">
        <v>74</v>
      </c>
      <c r="R8" t="s">
        <v>75</v>
      </c>
      <c r="S8" t="s">
        <v>75</v>
      </c>
      <c r="T8" t="s">
        <v>75</v>
      </c>
      <c r="U8" t="s">
        <v>76</v>
      </c>
      <c r="V8" t="s">
        <v>75</v>
      </c>
      <c r="W8" t="s">
        <v>75</v>
      </c>
      <c r="X8" t="s">
        <v>74</v>
      </c>
      <c r="Y8" t="s">
        <v>74</v>
      </c>
      <c r="Z8" t="s">
        <v>77</v>
      </c>
      <c r="AA8" t="s">
        <v>78</v>
      </c>
      <c r="AB8" t="s">
        <v>74</v>
      </c>
      <c r="AC8" t="s">
        <v>74</v>
      </c>
      <c r="AD8" t="s">
        <v>545</v>
      </c>
      <c r="AE8" t="s">
        <v>79</v>
      </c>
      <c r="AF8" t="s">
        <v>75</v>
      </c>
      <c r="AG8" t="s">
        <v>90</v>
      </c>
      <c r="AH8" t="s">
        <v>76</v>
      </c>
      <c r="AI8" t="s">
        <v>75</v>
      </c>
      <c r="AJ8" t="s">
        <v>91</v>
      </c>
      <c r="AK8" t="s">
        <v>81</v>
      </c>
      <c r="AL8" t="s">
        <v>82</v>
      </c>
      <c r="AM8" t="s">
        <v>83</v>
      </c>
      <c r="AN8">
        <v>750</v>
      </c>
      <c r="AO8">
        <v>152</v>
      </c>
      <c r="AP8">
        <v>150</v>
      </c>
      <c r="AQ8" t="s">
        <v>84</v>
      </c>
      <c r="AR8" t="s">
        <v>84</v>
      </c>
      <c r="AS8" t="s">
        <v>85</v>
      </c>
      <c r="AT8" t="s">
        <v>75</v>
      </c>
      <c r="AU8" t="s">
        <v>76</v>
      </c>
      <c r="AV8">
        <v>31145</v>
      </c>
      <c r="AW8">
        <v>18000</v>
      </c>
      <c r="AX8">
        <v>21760</v>
      </c>
      <c r="AY8">
        <v>-31145</v>
      </c>
      <c r="AZ8">
        <v>-18000</v>
      </c>
      <c r="BA8">
        <v>-21760</v>
      </c>
      <c r="BB8" t="s">
        <v>86</v>
      </c>
      <c r="BC8">
        <v>-18000</v>
      </c>
      <c r="BD8">
        <v>-31145</v>
      </c>
      <c r="BE8">
        <v>0</v>
      </c>
      <c r="BF8">
        <v>11303</v>
      </c>
      <c r="BG8">
        <v>0</v>
      </c>
      <c r="BH8">
        <v>6597</v>
      </c>
      <c r="BI8">
        <v>0</v>
      </c>
      <c r="BJ8">
        <v>11303</v>
      </c>
      <c r="BK8" t="s">
        <v>75</v>
      </c>
      <c r="BL8" t="s">
        <v>90</v>
      </c>
    </row>
    <row r="9" spans="1:65" x14ac:dyDescent="0.55000000000000004">
      <c r="A9" t="s">
        <v>65</v>
      </c>
      <c r="B9">
        <v>5</v>
      </c>
      <c r="C9">
        <v>2</v>
      </c>
      <c r="D9">
        <v>4</v>
      </c>
      <c r="E9">
        <v>1</v>
      </c>
      <c r="F9">
        <v>5.2</v>
      </c>
      <c r="G9" t="s">
        <v>97</v>
      </c>
      <c r="H9" t="s">
        <v>67</v>
      </c>
      <c r="I9" t="s">
        <v>68</v>
      </c>
      <c r="J9">
        <v>2021</v>
      </c>
      <c r="K9" t="s">
        <v>69</v>
      </c>
      <c r="L9" t="s">
        <v>70</v>
      </c>
      <c r="M9" t="s">
        <v>71</v>
      </c>
      <c r="N9" t="s">
        <v>72</v>
      </c>
      <c r="O9" t="s">
        <v>73</v>
      </c>
      <c r="P9" t="str">
        <f>VLOOKUP(O9,Sheet3!$A$1:$B$22,2,0)</f>
        <v>Demand Forecasting</v>
      </c>
      <c r="Q9" t="s">
        <v>74</v>
      </c>
      <c r="R9" t="s">
        <v>75</v>
      </c>
      <c r="S9" t="s">
        <v>75</v>
      </c>
      <c r="T9" t="s">
        <v>75</v>
      </c>
      <c r="U9" t="s">
        <v>76</v>
      </c>
      <c r="V9" t="s">
        <v>75</v>
      </c>
      <c r="W9" t="s">
        <v>75</v>
      </c>
      <c r="X9" t="s">
        <v>74</v>
      </c>
      <c r="Y9" t="s">
        <v>74</v>
      </c>
      <c r="Z9" t="s">
        <v>77</v>
      </c>
      <c r="AA9" t="s">
        <v>78</v>
      </c>
      <c r="AB9" t="s">
        <v>74</v>
      </c>
      <c r="AC9" t="s">
        <v>74</v>
      </c>
      <c r="AD9" t="s">
        <v>545</v>
      </c>
      <c r="AE9" t="s">
        <v>79</v>
      </c>
      <c r="AF9" t="s">
        <v>75</v>
      </c>
      <c r="AG9" t="s">
        <v>93</v>
      </c>
      <c r="AH9" t="s">
        <v>76</v>
      </c>
      <c r="AI9" t="s">
        <v>75</v>
      </c>
      <c r="AJ9" t="s">
        <v>91</v>
      </c>
      <c r="AK9" t="s">
        <v>81</v>
      </c>
      <c r="AL9" t="s">
        <v>82</v>
      </c>
      <c r="AM9" t="s">
        <v>83</v>
      </c>
      <c r="AN9">
        <v>750</v>
      </c>
      <c r="AO9">
        <v>152</v>
      </c>
      <c r="AP9">
        <v>150</v>
      </c>
      <c r="AQ9" t="s">
        <v>84</v>
      </c>
      <c r="AR9" t="s">
        <v>84</v>
      </c>
      <c r="AS9" t="s">
        <v>85</v>
      </c>
      <c r="AT9" t="s">
        <v>75</v>
      </c>
      <c r="AU9" t="s">
        <v>76</v>
      </c>
      <c r="AV9">
        <v>31145</v>
      </c>
      <c r="AW9">
        <v>18000</v>
      </c>
      <c r="AX9">
        <v>25727</v>
      </c>
      <c r="AY9">
        <v>-31145</v>
      </c>
      <c r="AZ9">
        <v>-18000</v>
      </c>
      <c r="BA9">
        <v>-25727</v>
      </c>
      <c r="BB9" t="s">
        <v>86</v>
      </c>
      <c r="BC9">
        <v>-18000</v>
      </c>
      <c r="BD9">
        <v>-31145</v>
      </c>
      <c r="BE9">
        <v>0</v>
      </c>
      <c r="BF9">
        <v>11303</v>
      </c>
      <c r="BG9">
        <v>0</v>
      </c>
      <c r="BH9">
        <v>8860</v>
      </c>
      <c r="BI9">
        <v>0</v>
      </c>
      <c r="BJ9">
        <v>11303</v>
      </c>
      <c r="BK9" t="s">
        <v>75</v>
      </c>
      <c r="BL9" t="s">
        <v>93</v>
      </c>
    </row>
    <row r="10" spans="1:65" x14ac:dyDescent="0.55000000000000004">
      <c r="A10" t="s">
        <v>65</v>
      </c>
      <c r="B10">
        <v>5</v>
      </c>
      <c r="C10">
        <v>3</v>
      </c>
      <c r="D10">
        <v>1</v>
      </c>
      <c r="E10">
        <v>1</v>
      </c>
      <c r="F10">
        <v>5.3</v>
      </c>
      <c r="G10" t="s">
        <v>98</v>
      </c>
      <c r="H10" t="s">
        <v>67</v>
      </c>
      <c r="I10" t="s">
        <v>68</v>
      </c>
      <c r="J10">
        <v>2021</v>
      </c>
      <c r="K10" t="s">
        <v>69</v>
      </c>
      <c r="L10" t="s">
        <v>70</v>
      </c>
      <c r="M10" t="s">
        <v>99</v>
      </c>
      <c r="N10" t="s">
        <v>100</v>
      </c>
      <c r="O10" t="s">
        <v>73</v>
      </c>
      <c r="P10" t="str">
        <f>VLOOKUP(O10,Sheet3!$A$1:$B$22,2,0)</f>
        <v>Demand Forecasting</v>
      </c>
      <c r="Q10" t="s">
        <v>74</v>
      </c>
      <c r="R10" t="s">
        <v>75</v>
      </c>
      <c r="S10" t="s">
        <v>75</v>
      </c>
      <c r="T10" t="s">
        <v>75</v>
      </c>
      <c r="U10" t="s">
        <v>76</v>
      </c>
      <c r="V10" t="s">
        <v>75</v>
      </c>
      <c r="W10" t="s">
        <v>75</v>
      </c>
      <c r="X10" t="s">
        <v>74</v>
      </c>
      <c r="Y10" t="s">
        <v>74</v>
      </c>
      <c r="Z10" t="s">
        <v>77</v>
      </c>
      <c r="AA10" t="s">
        <v>78</v>
      </c>
      <c r="AB10" t="s">
        <v>74</v>
      </c>
      <c r="AC10" t="s">
        <v>74</v>
      </c>
      <c r="AD10" t="s">
        <v>545</v>
      </c>
      <c r="AE10" t="s">
        <v>79</v>
      </c>
      <c r="AF10" t="s">
        <v>75</v>
      </c>
      <c r="AG10" t="s">
        <v>80</v>
      </c>
      <c r="AH10" t="s">
        <v>75</v>
      </c>
      <c r="AI10" t="s">
        <v>75</v>
      </c>
      <c r="AK10" t="s">
        <v>81</v>
      </c>
      <c r="AL10" t="s">
        <v>82</v>
      </c>
      <c r="AM10" t="s">
        <v>83</v>
      </c>
      <c r="AN10">
        <v>803</v>
      </c>
      <c r="AO10">
        <v>202</v>
      </c>
      <c r="AP10">
        <v>202</v>
      </c>
      <c r="AQ10" t="s">
        <v>84</v>
      </c>
      <c r="AR10" t="s">
        <v>84</v>
      </c>
      <c r="AS10" t="s">
        <v>85</v>
      </c>
      <c r="AT10" t="s">
        <v>75</v>
      </c>
      <c r="AU10" t="s">
        <v>76</v>
      </c>
      <c r="AV10">
        <v>322426</v>
      </c>
      <c r="AW10">
        <v>180000</v>
      </c>
      <c r="AX10">
        <v>226436</v>
      </c>
      <c r="AY10">
        <v>-322426</v>
      </c>
      <c r="AZ10">
        <v>-180000</v>
      </c>
      <c r="BA10">
        <v>-226436</v>
      </c>
      <c r="BB10" t="s">
        <v>86</v>
      </c>
      <c r="BC10">
        <v>-180000</v>
      </c>
      <c r="BD10">
        <v>-322426</v>
      </c>
      <c r="BE10">
        <v>0</v>
      </c>
      <c r="BF10">
        <v>121858</v>
      </c>
      <c r="BG10">
        <v>0</v>
      </c>
      <c r="BH10">
        <v>77781</v>
      </c>
      <c r="BI10">
        <v>0</v>
      </c>
      <c r="BJ10">
        <v>121858</v>
      </c>
      <c r="BK10" t="s">
        <v>75</v>
      </c>
      <c r="BL10" t="s">
        <v>80</v>
      </c>
    </row>
    <row r="11" spans="1:65" x14ac:dyDescent="0.55000000000000004">
      <c r="A11" t="s">
        <v>65</v>
      </c>
      <c r="B11">
        <v>5</v>
      </c>
      <c r="C11">
        <v>3</v>
      </c>
      <c r="D11">
        <v>2</v>
      </c>
      <c r="E11">
        <v>1</v>
      </c>
      <c r="F11">
        <v>5.3</v>
      </c>
      <c r="G11" t="s">
        <v>101</v>
      </c>
      <c r="H11" t="s">
        <v>67</v>
      </c>
      <c r="I11" t="s">
        <v>68</v>
      </c>
      <c r="J11">
        <v>2021</v>
      </c>
      <c r="K11" t="s">
        <v>69</v>
      </c>
      <c r="L11" t="s">
        <v>70</v>
      </c>
      <c r="M11" t="s">
        <v>99</v>
      </c>
      <c r="N11" t="s">
        <v>100</v>
      </c>
      <c r="O11" t="s">
        <v>73</v>
      </c>
      <c r="P11" t="str">
        <f>VLOOKUP(O11,Sheet3!$A$1:$B$22,2,0)</f>
        <v>Demand Forecasting</v>
      </c>
      <c r="Q11" t="s">
        <v>74</v>
      </c>
      <c r="R11" t="s">
        <v>75</v>
      </c>
      <c r="S11" t="s">
        <v>75</v>
      </c>
      <c r="T11" t="s">
        <v>75</v>
      </c>
      <c r="U11" t="s">
        <v>76</v>
      </c>
      <c r="V11" t="s">
        <v>75</v>
      </c>
      <c r="W11" t="s">
        <v>75</v>
      </c>
      <c r="X11" t="s">
        <v>74</v>
      </c>
      <c r="Y11" t="s">
        <v>74</v>
      </c>
      <c r="Z11" t="s">
        <v>77</v>
      </c>
      <c r="AA11" t="s">
        <v>78</v>
      </c>
      <c r="AB11" t="s">
        <v>74</v>
      </c>
      <c r="AC11" t="s">
        <v>74</v>
      </c>
      <c r="AD11" t="s">
        <v>545</v>
      </c>
      <c r="AE11" t="s">
        <v>79</v>
      </c>
      <c r="AF11" t="s">
        <v>75</v>
      </c>
      <c r="AG11" t="s">
        <v>88</v>
      </c>
      <c r="AH11" t="s">
        <v>75</v>
      </c>
      <c r="AI11" t="s">
        <v>75</v>
      </c>
      <c r="AK11" t="s">
        <v>81</v>
      </c>
      <c r="AL11" t="s">
        <v>82</v>
      </c>
      <c r="AM11" t="s">
        <v>83</v>
      </c>
      <c r="AN11">
        <v>803</v>
      </c>
      <c r="AO11">
        <v>200</v>
      </c>
      <c r="AP11">
        <v>200</v>
      </c>
      <c r="AQ11" t="s">
        <v>84</v>
      </c>
      <c r="AR11" t="s">
        <v>84</v>
      </c>
      <c r="AS11" t="s">
        <v>85</v>
      </c>
      <c r="AT11" t="s">
        <v>75</v>
      </c>
      <c r="AU11" t="s">
        <v>76</v>
      </c>
      <c r="AV11">
        <v>324141</v>
      </c>
      <c r="AW11">
        <v>180000</v>
      </c>
      <c r="AX11">
        <v>217980</v>
      </c>
      <c r="AY11">
        <v>-324141</v>
      </c>
      <c r="AZ11">
        <v>-180000</v>
      </c>
      <c r="BA11">
        <v>-217980</v>
      </c>
      <c r="BB11" t="s">
        <v>86</v>
      </c>
      <c r="BC11">
        <v>-180000</v>
      </c>
      <c r="BD11">
        <v>-324141</v>
      </c>
      <c r="BE11">
        <v>0</v>
      </c>
      <c r="BF11">
        <v>109289</v>
      </c>
      <c r="BG11">
        <v>0</v>
      </c>
      <c r="BH11">
        <v>64729</v>
      </c>
      <c r="BI11">
        <v>0</v>
      </c>
      <c r="BJ11">
        <v>109289</v>
      </c>
      <c r="BK11" t="s">
        <v>75</v>
      </c>
      <c r="BL11" t="s">
        <v>88</v>
      </c>
    </row>
    <row r="12" spans="1:65" x14ac:dyDescent="0.55000000000000004">
      <c r="A12" t="s">
        <v>65</v>
      </c>
      <c r="B12">
        <v>5</v>
      </c>
      <c r="C12">
        <v>3</v>
      </c>
      <c r="D12">
        <v>3</v>
      </c>
      <c r="E12">
        <v>1</v>
      </c>
      <c r="F12">
        <v>5.3</v>
      </c>
      <c r="G12" t="s">
        <v>102</v>
      </c>
      <c r="H12" t="s">
        <v>67</v>
      </c>
      <c r="I12" t="s">
        <v>68</v>
      </c>
      <c r="J12">
        <v>2021</v>
      </c>
      <c r="K12" t="s">
        <v>69</v>
      </c>
      <c r="L12" t="s">
        <v>70</v>
      </c>
      <c r="M12" t="s">
        <v>99</v>
      </c>
      <c r="N12" t="s">
        <v>100</v>
      </c>
      <c r="O12" t="s">
        <v>73</v>
      </c>
      <c r="P12" t="str">
        <f>VLOOKUP(O12,Sheet3!$A$1:$B$22,2,0)</f>
        <v>Demand Forecasting</v>
      </c>
      <c r="Q12" t="s">
        <v>74</v>
      </c>
      <c r="R12" t="s">
        <v>75</v>
      </c>
      <c r="S12" t="s">
        <v>75</v>
      </c>
      <c r="T12" t="s">
        <v>75</v>
      </c>
      <c r="U12" t="s">
        <v>76</v>
      </c>
      <c r="V12" t="s">
        <v>75</v>
      </c>
      <c r="W12" t="s">
        <v>75</v>
      </c>
      <c r="X12" t="s">
        <v>74</v>
      </c>
      <c r="Y12" t="s">
        <v>74</v>
      </c>
      <c r="Z12" t="s">
        <v>77</v>
      </c>
      <c r="AA12" t="s">
        <v>78</v>
      </c>
      <c r="AB12" t="s">
        <v>74</v>
      </c>
      <c r="AC12" t="s">
        <v>74</v>
      </c>
      <c r="AD12" t="s">
        <v>545</v>
      </c>
      <c r="AE12" t="s">
        <v>79</v>
      </c>
      <c r="AF12" t="s">
        <v>75</v>
      </c>
      <c r="AG12" t="s">
        <v>90</v>
      </c>
      <c r="AH12" t="s">
        <v>76</v>
      </c>
      <c r="AI12" t="s">
        <v>75</v>
      </c>
      <c r="AJ12" t="s">
        <v>91</v>
      </c>
      <c r="AK12" t="s">
        <v>81</v>
      </c>
      <c r="AL12" t="s">
        <v>82</v>
      </c>
      <c r="AM12" t="s">
        <v>83</v>
      </c>
      <c r="AN12">
        <v>803</v>
      </c>
      <c r="AO12">
        <v>202</v>
      </c>
      <c r="AP12">
        <v>202</v>
      </c>
      <c r="AQ12" t="s">
        <v>84</v>
      </c>
      <c r="AR12" t="s">
        <v>84</v>
      </c>
      <c r="AS12" t="s">
        <v>85</v>
      </c>
      <c r="AT12" t="s">
        <v>75</v>
      </c>
      <c r="AU12" t="s">
        <v>76</v>
      </c>
      <c r="AV12">
        <v>307277</v>
      </c>
      <c r="AW12">
        <v>180000</v>
      </c>
      <c r="AX12">
        <v>221535</v>
      </c>
      <c r="AY12">
        <v>-307277</v>
      </c>
      <c r="AZ12">
        <v>-180000</v>
      </c>
      <c r="BA12">
        <v>-221535</v>
      </c>
      <c r="BB12" t="s">
        <v>86</v>
      </c>
      <c r="BC12">
        <v>-180000</v>
      </c>
      <c r="BD12">
        <v>-307277</v>
      </c>
      <c r="BE12">
        <v>0</v>
      </c>
      <c r="BF12">
        <v>110692</v>
      </c>
      <c r="BG12">
        <v>0</v>
      </c>
      <c r="BH12">
        <v>67183</v>
      </c>
      <c r="BI12">
        <v>0</v>
      </c>
      <c r="BJ12">
        <v>110692</v>
      </c>
      <c r="BK12" t="s">
        <v>75</v>
      </c>
      <c r="BL12" t="s">
        <v>90</v>
      </c>
    </row>
    <row r="13" spans="1:65" x14ac:dyDescent="0.55000000000000004">
      <c r="A13" t="s">
        <v>65</v>
      </c>
      <c r="B13">
        <v>5</v>
      </c>
      <c r="C13">
        <v>3</v>
      </c>
      <c r="D13">
        <v>4</v>
      </c>
      <c r="E13">
        <v>1</v>
      </c>
      <c r="F13">
        <v>5.3</v>
      </c>
      <c r="G13" t="s">
        <v>103</v>
      </c>
      <c r="H13" t="s">
        <v>67</v>
      </c>
      <c r="I13" t="s">
        <v>68</v>
      </c>
      <c r="J13">
        <v>2021</v>
      </c>
      <c r="K13" t="s">
        <v>69</v>
      </c>
      <c r="L13" t="s">
        <v>70</v>
      </c>
      <c r="M13" t="s">
        <v>99</v>
      </c>
      <c r="N13" t="s">
        <v>100</v>
      </c>
      <c r="O13" t="s">
        <v>73</v>
      </c>
      <c r="P13" t="str">
        <f>VLOOKUP(O13,Sheet3!$A$1:$B$22,2,0)</f>
        <v>Demand Forecasting</v>
      </c>
      <c r="Q13" t="s">
        <v>74</v>
      </c>
      <c r="R13" t="s">
        <v>75</v>
      </c>
      <c r="S13" t="s">
        <v>75</v>
      </c>
      <c r="T13" t="s">
        <v>75</v>
      </c>
      <c r="U13" t="s">
        <v>76</v>
      </c>
      <c r="V13" t="s">
        <v>75</v>
      </c>
      <c r="W13" t="s">
        <v>75</v>
      </c>
      <c r="X13" t="s">
        <v>74</v>
      </c>
      <c r="Y13" t="s">
        <v>74</v>
      </c>
      <c r="Z13" t="s">
        <v>77</v>
      </c>
      <c r="AA13" t="s">
        <v>78</v>
      </c>
      <c r="AB13" t="s">
        <v>74</v>
      </c>
      <c r="AC13" t="s">
        <v>74</v>
      </c>
      <c r="AD13" t="s">
        <v>545</v>
      </c>
      <c r="AE13" t="s">
        <v>79</v>
      </c>
      <c r="AF13" t="s">
        <v>75</v>
      </c>
      <c r="AG13" t="s">
        <v>93</v>
      </c>
      <c r="AH13" t="s">
        <v>76</v>
      </c>
      <c r="AI13" t="s">
        <v>75</v>
      </c>
      <c r="AJ13" t="s">
        <v>91</v>
      </c>
      <c r="AK13" t="s">
        <v>81</v>
      </c>
      <c r="AL13" t="s">
        <v>82</v>
      </c>
      <c r="AM13" t="s">
        <v>83</v>
      </c>
      <c r="AN13">
        <v>803</v>
      </c>
      <c r="AO13">
        <v>198</v>
      </c>
      <c r="AP13">
        <v>198</v>
      </c>
      <c r="AQ13" t="s">
        <v>84</v>
      </c>
      <c r="AR13" t="s">
        <v>84</v>
      </c>
      <c r="AS13" t="s">
        <v>85</v>
      </c>
      <c r="AT13" t="s">
        <v>75</v>
      </c>
      <c r="AU13" t="s">
        <v>76</v>
      </c>
      <c r="AV13">
        <v>328950</v>
      </c>
      <c r="AW13">
        <v>180000</v>
      </c>
      <c r="AX13">
        <v>220850</v>
      </c>
      <c r="AY13">
        <v>-328950</v>
      </c>
      <c r="AZ13">
        <v>-180000</v>
      </c>
      <c r="BA13">
        <v>-220850</v>
      </c>
      <c r="BB13" t="s">
        <v>86</v>
      </c>
      <c r="BC13">
        <v>-180000</v>
      </c>
      <c r="BD13">
        <v>-328950</v>
      </c>
      <c r="BE13">
        <v>0</v>
      </c>
      <c r="BF13">
        <v>114314</v>
      </c>
      <c r="BG13">
        <v>0</v>
      </c>
      <c r="BH13">
        <v>56335</v>
      </c>
      <c r="BI13">
        <v>0</v>
      </c>
      <c r="BJ13">
        <v>114314</v>
      </c>
      <c r="BK13" t="s">
        <v>75</v>
      </c>
      <c r="BL13" t="s">
        <v>93</v>
      </c>
    </row>
    <row r="14" spans="1:65" x14ac:dyDescent="0.55000000000000004">
      <c r="A14" t="s">
        <v>104</v>
      </c>
      <c r="B14">
        <v>6</v>
      </c>
      <c r="C14">
        <v>3</v>
      </c>
      <c r="D14">
        <v>1</v>
      </c>
      <c r="E14">
        <v>1</v>
      </c>
      <c r="F14">
        <v>6.3</v>
      </c>
      <c r="G14" t="s">
        <v>105</v>
      </c>
      <c r="H14" t="s">
        <v>106</v>
      </c>
      <c r="I14" t="s">
        <v>107</v>
      </c>
      <c r="J14">
        <v>2021</v>
      </c>
      <c r="K14" t="s">
        <v>69</v>
      </c>
      <c r="L14" t="s">
        <v>70</v>
      </c>
      <c r="M14" t="s">
        <v>108</v>
      </c>
      <c r="N14" t="s">
        <v>72</v>
      </c>
      <c r="O14" t="s">
        <v>109</v>
      </c>
      <c r="P14" t="str">
        <f>VLOOKUP(O14,Sheet3!$A$1:$B$22,2,0)</f>
        <v>Customer Service</v>
      </c>
      <c r="Q14" t="s">
        <v>110</v>
      </c>
      <c r="R14" t="s">
        <v>75</v>
      </c>
      <c r="S14" t="s">
        <v>75</v>
      </c>
      <c r="T14" t="s">
        <v>75</v>
      </c>
      <c r="U14" t="s">
        <v>75</v>
      </c>
      <c r="V14" t="s">
        <v>76</v>
      </c>
      <c r="W14" t="s">
        <v>75</v>
      </c>
      <c r="X14" t="s">
        <v>111</v>
      </c>
      <c r="Y14" t="s">
        <v>111</v>
      </c>
      <c r="Z14" t="s">
        <v>77</v>
      </c>
      <c r="AA14" t="s">
        <v>112</v>
      </c>
      <c r="AB14" t="s">
        <v>110</v>
      </c>
      <c r="AC14" t="s">
        <v>113</v>
      </c>
      <c r="AD14" t="s">
        <v>112</v>
      </c>
      <c r="AE14" t="s">
        <v>79</v>
      </c>
      <c r="AF14" t="s">
        <v>75</v>
      </c>
      <c r="AG14" t="s">
        <v>114</v>
      </c>
      <c r="AH14" t="s">
        <v>76</v>
      </c>
      <c r="AI14" t="s">
        <v>76</v>
      </c>
      <c r="AJ14" t="s">
        <v>74</v>
      </c>
      <c r="AK14" t="s">
        <v>115</v>
      </c>
      <c r="AL14" t="s">
        <v>115</v>
      </c>
      <c r="AM14" t="s">
        <v>116</v>
      </c>
      <c r="AN14">
        <v>507</v>
      </c>
      <c r="AO14">
        <v>100</v>
      </c>
      <c r="AP14">
        <v>102</v>
      </c>
      <c r="AQ14" t="s">
        <v>84</v>
      </c>
      <c r="AR14" t="s">
        <v>84</v>
      </c>
      <c r="AS14" t="s">
        <v>85</v>
      </c>
      <c r="AT14" t="s">
        <v>75</v>
      </c>
      <c r="AU14" t="s">
        <v>76</v>
      </c>
      <c r="AV14">
        <v>0.58150000000000002</v>
      </c>
      <c r="AW14">
        <v>0.65</v>
      </c>
      <c r="AX14">
        <v>0.69799999999999995</v>
      </c>
      <c r="AY14">
        <v>0.58150000000000002</v>
      </c>
      <c r="AZ14">
        <v>0.65</v>
      </c>
      <c r="BA14">
        <v>0.69799999999999995</v>
      </c>
      <c r="BB14" t="s">
        <v>86</v>
      </c>
      <c r="BC14">
        <v>0.65</v>
      </c>
      <c r="BD14">
        <v>0.58150000000000002</v>
      </c>
      <c r="BE14">
        <v>1</v>
      </c>
      <c r="BF14">
        <v>0.16500000000000001</v>
      </c>
      <c r="BG14">
        <v>0</v>
      </c>
      <c r="BH14">
        <v>0.1391</v>
      </c>
      <c r="BI14">
        <v>0</v>
      </c>
      <c r="BJ14">
        <v>0.16500000000000001</v>
      </c>
      <c r="BK14" t="s">
        <v>75</v>
      </c>
      <c r="BL14" t="s">
        <v>117</v>
      </c>
    </row>
    <row r="15" spans="1:65" x14ac:dyDescent="0.55000000000000004">
      <c r="A15" t="s">
        <v>104</v>
      </c>
      <c r="B15">
        <v>6</v>
      </c>
      <c r="C15">
        <v>3</v>
      </c>
      <c r="D15">
        <v>2</v>
      </c>
      <c r="E15">
        <v>1</v>
      </c>
      <c r="F15">
        <v>6.3</v>
      </c>
      <c r="G15" t="s">
        <v>118</v>
      </c>
      <c r="H15" t="s">
        <v>106</v>
      </c>
      <c r="I15" t="s">
        <v>107</v>
      </c>
      <c r="J15">
        <v>2021</v>
      </c>
      <c r="K15" t="s">
        <v>69</v>
      </c>
      <c r="L15" t="s">
        <v>70</v>
      </c>
      <c r="M15" t="s">
        <v>108</v>
      </c>
      <c r="N15" t="s">
        <v>72</v>
      </c>
      <c r="O15" t="s">
        <v>109</v>
      </c>
      <c r="P15" t="str">
        <f>VLOOKUP(O15,Sheet3!$A$1:$B$22,2,0)</f>
        <v>Customer Service</v>
      </c>
      <c r="Q15" t="s">
        <v>110</v>
      </c>
      <c r="R15" t="s">
        <v>75</v>
      </c>
      <c r="S15" t="s">
        <v>75</v>
      </c>
      <c r="T15" t="s">
        <v>75</v>
      </c>
      <c r="U15" t="s">
        <v>75</v>
      </c>
      <c r="V15" t="s">
        <v>76</v>
      </c>
      <c r="W15" t="s">
        <v>75</v>
      </c>
      <c r="X15" t="s">
        <v>111</v>
      </c>
      <c r="Y15" t="s">
        <v>111</v>
      </c>
      <c r="Z15" t="s">
        <v>77</v>
      </c>
      <c r="AA15" t="s">
        <v>112</v>
      </c>
      <c r="AB15" t="s">
        <v>110</v>
      </c>
      <c r="AC15" t="s">
        <v>113</v>
      </c>
      <c r="AD15" t="s">
        <v>112</v>
      </c>
      <c r="AE15" t="s">
        <v>79</v>
      </c>
      <c r="AF15" t="s">
        <v>75</v>
      </c>
      <c r="AG15" t="s">
        <v>119</v>
      </c>
      <c r="AH15" t="s">
        <v>76</v>
      </c>
      <c r="AI15" t="s">
        <v>76</v>
      </c>
      <c r="AJ15" t="s">
        <v>120</v>
      </c>
      <c r="AK15" t="s">
        <v>115</v>
      </c>
      <c r="AL15" t="s">
        <v>115</v>
      </c>
      <c r="AM15" t="s">
        <v>116</v>
      </c>
      <c r="AN15">
        <v>507</v>
      </c>
      <c r="AO15">
        <v>100</v>
      </c>
      <c r="AP15">
        <v>101</v>
      </c>
      <c r="AQ15" t="s">
        <v>84</v>
      </c>
      <c r="AR15" t="s">
        <v>84</v>
      </c>
      <c r="AS15" t="s">
        <v>85</v>
      </c>
      <c r="AT15" t="s">
        <v>75</v>
      </c>
      <c r="AU15" t="s">
        <v>76</v>
      </c>
      <c r="AV15">
        <v>0.58150000000000002</v>
      </c>
      <c r="AW15">
        <v>0.65</v>
      </c>
      <c r="AX15">
        <v>0.69010000000000005</v>
      </c>
      <c r="AY15">
        <v>0.58150000000000002</v>
      </c>
      <c r="AZ15">
        <v>0.65</v>
      </c>
      <c r="BA15">
        <v>0.69010000000000005</v>
      </c>
      <c r="BB15" t="s">
        <v>86</v>
      </c>
      <c r="BC15">
        <v>0.65</v>
      </c>
      <c r="BD15">
        <v>0.58150000000000002</v>
      </c>
      <c r="BE15">
        <v>1</v>
      </c>
      <c r="BF15">
        <v>0.16500000000000001</v>
      </c>
      <c r="BG15">
        <v>0</v>
      </c>
      <c r="BH15">
        <v>0.1303</v>
      </c>
      <c r="BI15">
        <v>0</v>
      </c>
      <c r="BJ15">
        <v>0.16500000000000001</v>
      </c>
      <c r="BK15" t="s">
        <v>75</v>
      </c>
      <c r="BL15" t="s">
        <v>121</v>
      </c>
    </row>
    <row r="16" spans="1:65" x14ac:dyDescent="0.55000000000000004">
      <c r="A16" t="s">
        <v>104</v>
      </c>
      <c r="B16">
        <v>6</v>
      </c>
      <c r="C16">
        <v>3</v>
      </c>
      <c r="D16">
        <v>3</v>
      </c>
      <c r="E16">
        <v>1</v>
      </c>
      <c r="F16">
        <v>6.3</v>
      </c>
      <c r="G16" t="s">
        <v>122</v>
      </c>
      <c r="H16" t="s">
        <v>106</v>
      </c>
      <c r="I16" t="s">
        <v>107</v>
      </c>
      <c r="J16">
        <v>2021</v>
      </c>
      <c r="K16" t="s">
        <v>69</v>
      </c>
      <c r="L16" t="s">
        <v>70</v>
      </c>
      <c r="M16" t="s">
        <v>108</v>
      </c>
      <c r="N16" t="s">
        <v>72</v>
      </c>
      <c r="O16" t="s">
        <v>109</v>
      </c>
      <c r="P16" t="str">
        <f>VLOOKUP(O16,Sheet3!$A$1:$B$22,2,0)</f>
        <v>Customer Service</v>
      </c>
      <c r="Q16" t="s">
        <v>110</v>
      </c>
      <c r="R16" t="s">
        <v>75</v>
      </c>
      <c r="S16" t="s">
        <v>75</v>
      </c>
      <c r="T16" t="s">
        <v>75</v>
      </c>
      <c r="U16" t="s">
        <v>75</v>
      </c>
      <c r="V16" t="s">
        <v>76</v>
      </c>
      <c r="W16" t="s">
        <v>75</v>
      </c>
      <c r="X16" t="s">
        <v>111</v>
      </c>
      <c r="Y16" t="s">
        <v>111</v>
      </c>
      <c r="Z16" t="s">
        <v>77</v>
      </c>
      <c r="AA16" t="s">
        <v>112</v>
      </c>
      <c r="AB16" t="s">
        <v>110</v>
      </c>
      <c r="AC16" t="s">
        <v>113</v>
      </c>
      <c r="AD16" t="s">
        <v>112</v>
      </c>
      <c r="AE16" t="s">
        <v>79</v>
      </c>
      <c r="AF16" t="s">
        <v>75</v>
      </c>
      <c r="AG16" t="s">
        <v>123</v>
      </c>
      <c r="AH16" t="s">
        <v>76</v>
      </c>
      <c r="AI16" t="s">
        <v>76</v>
      </c>
      <c r="AJ16" t="s">
        <v>120</v>
      </c>
      <c r="AK16" t="s">
        <v>115</v>
      </c>
      <c r="AL16" t="s">
        <v>115</v>
      </c>
      <c r="AM16" t="s">
        <v>116</v>
      </c>
      <c r="AN16">
        <v>507</v>
      </c>
      <c r="AO16">
        <v>100</v>
      </c>
      <c r="AP16">
        <v>103</v>
      </c>
      <c r="AQ16" t="s">
        <v>84</v>
      </c>
      <c r="AR16" t="s">
        <v>84</v>
      </c>
      <c r="AS16" t="s">
        <v>85</v>
      </c>
      <c r="AT16" t="s">
        <v>75</v>
      </c>
      <c r="AU16" t="s">
        <v>76</v>
      </c>
      <c r="AV16">
        <v>0.58150000000000002</v>
      </c>
      <c r="AW16">
        <v>0.65</v>
      </c>
      <c r="AX16">
        <v>0.68159999999999998</v>
      </c>
      <c r="AY16">
        <v>0.58150000000000002</v>
      </c>
      <c r="AZ16">
        <v>0.65</v>
      </c>
      <c r="BA16">
        <v>0.68159999999999998</v>
      </c>
      <c r="BB16" t="s">
        <v>86</v>
      </c>
      <c r="BC16">
        <v>0.65</v>
      </c>
      <c r="BD16">
        <v>0.58150000000000002</v>
      </c>
      <c r="BE16">
        <v>1</v>
      </c>
      <c r="BF16">
        <v>0.16500000000000001</v>
      </c>
      <c r="BG16">
        <v>0</v>
      </c>
      <c r="BH16">
        <v>0.1298</v>
      </c>
      <c r="BI16">
        <v>0</v>
      </c>
      <c r="BJ16">
        <v>0.16500000000000001</v>
      </c>
      <c r="BK16" t="s">
        <v>75</v>
      </c>
      <c r="BL16" t="s">
        <v>124</v>
      </c>
    </row>
    <row r="17" spans="1:64" x14ac:dyDescent="0.55000000000000004">
      <c r="A17" t="s">
        <v>104</v>
      </c>
      <c r="B17">
        <v>6</v>
      </c>
      <c r="C17">
        <v>3</v>
      </c>
      <c r="D17">
        <v>4</v>
      </c>
      <c r="E17">
        <v>1</v>
      </c>
      <c r="F17">
        <v>6.3</v>
      </c>
      <c r="G17" t="s">
        <v>125</v>
      </c>
      <c r="H17" t="s">
        <v>106</v>
      </c>
      <c r="I17" t="s">
        <v>107</v>
      </c>
      <c r="J17">
        <v>2021</v>
      </c>
      <c r="K17" t="s">
        <v>69</v>
      </c>
      <c r="L17" t="s">
        <v>70</v>
      </c>
      <c r="M17" t="s">
        <v>108</v>
      </c>
      <c r="N17" t="s">
        <v>72</v>
      </c>
      <c r="O17" t="s">
        <v>109</v>
      </c>
      <c r="P17" t="str">
        <f>VLOOKUP(O17,Sheet3!$A$1:$B$22,2,0)</f>
        <v>Customer Service</v>
      </c>
      <c r="Q17" t="s">
        <v>110</v>
      </c>
      <c r="R17" t="s">
        <v>75</v>
      </c>
      <c r="S17" t="s">
        <v>75</v>
      </c>
      <c r="T17" t="s">
        <v>75</v>
      </c>
      <c r="U17" t="s">
        <v>75</v>
      </c>
      <c r="V17" t="s">
        <v>76</v>
      </c>
      <c r="W17" t="s">
        <v>75</v>
      </c>
      <c r="X17" t="s">
        <v>111</v>
      </c>
      <c r="Y17" t="s">
        <v>111</v>
      </c>
      <c r="Z17" t="s">
        <v>77</v>
      </c>
      <c r="AA17" t="s">
        <v>112</v>
      </c>
      <c r="AB17" t="s">
        <v>110</v>
      </c>
      <c r="AC17" t="s">
        <v>113</v>
      </c>
      <c r="AD17" t="s">
        <v>112</v>
      </c>
      <c r="AE17" t="s">
        <v>79</v>
      </c>
      <c r="AF17" t="s">
        <v>75</v>
      </c>
      <c r="AG17" t="s">
        <v>126</v>
      </c>
      <c r="AH17" t="s">
        <v>76</v>
      </c>
      <c r="AI17" t="s">
        <v>76</v>
      </c>
      <c r="AJ17" t="s">
        <v>120</v>
      </c>
      <c r="AK17" t="s">
        <v>115</v>
      </c>
      <c r="AL17" t="s">
        <v>115</v>
      </c>
      <c r="AM17" t="s">
        <v>116</v>
      </c>
      <c r="AN17">
        <v>507</v>
      </c>
      <c r="AO17">
        <v>100</v>
      </c>
      <c r="AP17">
        <v>101</v>
      </c>
      <c r="AQ17" t="s">
        <v>84</v>
      </c>
      <c r="AR17" t="s">
        <v>84</v>
      </c>
      <c r="AS17" t="s">
        <v>85</v>
      </c>
      <c r="AT17" t="s">
        <v>75</v>
      </c>
      <c r="AU17" t="s">
        <v>76</v>
      </c>
      <c r="AV17">
        <v>0.58150000000000002</v>
      </c>
      <c r="AW17">
        <v>0.65</v>
      </c>
      <c r="AX17">
        <v>0.70099999999999996</v>
      </c>
      <c r="AY17">
        <v>0.58150000000000002</v>
      </c>
      <c r="AZ17">
        <v>0.65</v>
      </c>
      <c r="BA17">
        <v>0.70099999999999996</v>
      </c>
      <c r="BB17" t="s">
        <v>86</v>
      </c>
      <c r="BC17">
        <v>0.65</v>
      </c>
      <c r="BD17">
        <v>0.58150000000000002</v>
      </c>
      <c r="BE17">
        <v>1</v>
      </c>
      <c r="BF17">
        <v>0.16500000000000001</v>
      </c>
      <c r="BG17">
        <v>0</v>
      </c>
      <c r="BH17">
        <v>0.12039999999999999</v>
      </c>
      <c r="BI17">
        <v>0</v>
      </c>
      <c r="BJ17">
        <v>0.16500000000000001</v>
      </c>
      <c r="BK17" t="s">
        <v>75</v>
      </c>
      <c r="BL17" t="s">
        <v>127</v>
      </c>
    </row>
    <row r="18" spans="1:64" x14ac:dyDescent="0.55000000000000004">
      <c r="A18" t="s">
        <v>128</v>
      </c>
      <c r="B18">
        <v>7</v>
      </c>
      <c r="C18">
        <v>1</v>
      </c>
      <c r="D18">
        <v>2</v>
      </c>
      <c r="E18">
        <v>1</v>
      </c>
      <c r="F18">
        <v>7.1</v>
      </c>
      <c r="G18" t="s">
        <v>129</v>
      </c>
      <c r="H18" t="s">
        <v>130</v>
      </c>
      <c r="I18" t="s">
        <v>131</v>
      </c>
      <c r="J18">
        <v>2021</v>
      </c>
      <c r="K18" t="s">
        <v>69</v>
      </c>
      <c r="L18" t="s">
        <v>132</v>
      </c>
      <c r="M18" t="s">
        <v>108</v>
      </c>
      <c r="N18" t="s">
        <v>72</v>
      </c>
      <c r="O18" t="s">
        <v>133</v>
      </c>
      <c r="P18" t="str">
        <f>VLOOKUP(O18,Sheet3!$A$1:$B$22,2,0)</f>
        <v>Review Analysis</v>
      </c>
      <c r="Q18" t="s">
        <v>134</v>
      </c>
      <c r="R18" t="s">
        <v>75</v>
      </c>
      <c r="S18" t="s">
        <v>75</v>
      </c>
      <c r="T18" t="s">
        <v>76</v>
      </c>
      <c r="U18" t="s">
        <v>75</v>
      </c>
      <c r="V18" t="s">
        <v>75</v>
      </c>
      <c r="W18" t="s">
        <v>75</v>
      </c>
      <c r="X18" t="s">
        <v>135</v>
      </c>
      <c r="Y18" t="s">
        <v>135</v>
      </c>
      <c r="Z18" t="s">
        <v>77</v>
      </c>
      <c r="AA18" t="s">
        <v>112</v>
      </c>
      <c r="AB18" t="s">
        <v>134</v>
      </c>
      <c r="AC18" t="s">
        <v>134</v>
      </c>
      <c r="AD18" t="s">
        <v>112</v>
      </c>
      <c r="AE18" t="s">
        <v>79</v>
      </c>
      <c r="AF18" t="s">
        <v>75</v>
      </c>
      <c r="AG18" t="s">
        <v>136</v>
      </c>
      <c r="AH18" t="s">
        <v>75</v>
      </c>
      <c r="AI18" t="s">
        <v>75</v>
      </c>
      <c r="AK18" t="s">
        <v>137</v>
      </c>
      <c r="AL18" t="s">
        <v>137</v>
      </c>
      <c r="AM18" t="s">
        <v>116</v>
      </c>
      <c r="AN18">
        <v>33</v>
      </c>
      <c r="AO18">
        <v>21</v>
      </c>
      <c r="AP18">
        <v>12</v>
      </c>
      <c r="AQ18" t="s">
        <v>84</v>
      </c>
      <c r="AR18" t="s">
        <v>84</v>
      </c>
      <c r="AS18" t="s">
        <v>85</v>
      </c>
      <c r="AT18" t="s">
        <v>75</v>
      </c>
      <c r="AU18" t="s">
        <v>76</v>
      </c>
      <c r="AV18">
        <v>60.08</v>
      </c>
      <c r="AW18">
        <v>100</v>
      </c>
      <c r="AX18">
        <v>89.67</v>
      </c>
      <c r="AY18">
        <v>60.08</v>
      </c>
      <c r="AZ18">
        <v>100</v>
      </c>
      <c r="BA18">
        <v>89.67</v>
      </c>
      <c r="BB18" t="s">
        <v>86</v>
      </c>
      <c r="BC18">
        <v>100</v>
      </c>
      <c r="BD18">
        <v>60.08</v>
      </c>
      <c r="BE18">
        <v>0</v>
      </c>
      <c r="BF18">
        <v>26.44</v>
      </c>
      <c r="BG18">
        <v>0</v>
      </c>
      <c r="BH18">
        <v>14.19</v>
      </c>
      <c r="BI18">
        <v>0</v>
      </c>
      <c r="BJ18">
        <v>26.44</v>
      </c>
      <c r="BK18" t="s">
        <v>75</v>
      </c>
      <c r="BL18" t="s">
        <v>136</v>
      </c>
    </row>
    <row r="19" spans="1:64" x14ac:dyDescent="0.55000000000000004">
      <c r="A19" t="s">
        <v>138</v>
      </c>
      <c r="B19">
        <v>9</v>
      </c>
      <c r="C19">
        <v>2</v>
      </c>
      <c r="D19">
        <v>1</v>
      </c>
      <c r="E19">
        <v>1</v>
      </c>
      <c r="F19">
        <v>9.1999999999999993</v>
      </c>
      <c r="G19" t="s">
        <v>139</v>
      </c>
      <c r="H19" t="s">
        <v>140</v>
      </c>
      <c r="I19" t="s">
        <v>141</v>
      </c>
      <c r="J19">
        <v>2021</v>
      </c>
      <c r="K19" t="s">
        <v>69</v>
      </c>
      <c r="L19" t="s">
        <v>142</v>
      </c>
      <c r="M19" t="s">
        <v>108</v>
      </c>
      <c r="N19" t="s">
        <v>72</v>
      </c>
      <c r="O19" t="s">
        <v>143</v>
      </c>
      <c r="P19" s="9" t="s">
        <v>548</v>
      </c>
      <c r="Q19" t="s">
        <v>110</v>
      </c>
      <c r="R19" t="s">
        <v>75</v>
      </c>
      <c r="S19" t="s">
        <v>75</v>
      </c>
      <c r="T19" t="s">
        <v>75</v>
      </c>
      <c r="U19" t="s">
        <v>75</v>
      </c>
      <c r="V19" t="s">
        <v>76</v>
      </c>
      <c r="W19" t="s">
        <v>75</v>
      </c>
      <c r="X19" t="s">
        <v>111</v>
      </c>
      <c r="Y19" t="s">
        <v>111</v>
      </c>
      <c r="Z19" t="s">
        <v>77</v>
      </c>
      <c r="AA19" t="s">
        <v>78</v>
      </c>
      <c r="AB19" t="s">
        <v>110</v>
      </c>
      <c r="AC19" t="s">
        <v>113</v>
      </c>
      <c r="AD19" t="s">
        <v>545</v>
      </c>
      <c r="AE19" t="s">
        <v>79</v>
      </c>
      <c r="AF19" t="s">
        <v>75</v>
      </c>
      <c r="AG19" t="s">
        <v>144</v>
      </c>
      <c r="AH19" t="s">
        <v>76</v>
      </c>
      <c r="AI19" t="s">
        <v>75</v>
      </c>
      <c r="AJ19" t="s">
        <v>120</v>
      </c>
      <c r="AK19" t="s">
        <v>115</v>
      </c>
      <c r="AL19" t="s">
        <v>115</v>
      </c>
      <c r="AM19" t="s">
        <v>116</v>
      </c>
      <c r="AN19">
        <v>1296</v>
      </c>
      <c r="AO19">
        <v>216</v>
      </c>
      <c r="AP19">
        <v>216</v>
      </c>
      <c r="AQ19" t="s">
        <v>84</v>
      </c>
      <c r="AR19" t="s">
        <v>84</v>
      </c>
      <c r="AS19" t="s">
        <v>85</v>
      </c>
      <c r="AT19" t="s">
        <v>75</v>
      </c>
      <c r="AU19" t="s">
        <v>76</v>
      </c>
      <c r="AV19">
        <v>0.63500000000000001</v>
      </c>
      <c r="AW19">
        <v>0.84099999999999997</v>
      </c>
      <c r="AX19">
        <v>0.73399999999999999</v>
      </c>
      <c r="AY19">
        <v>0.63500000000000001</v>
      </c>
      <c r="AZ19">
        <v>0.84099999999999997</v>
      </c>
      <c r="BA19">
        <v>0.73399999999999999</v>
      </c>
      <c r="BB19" t="s">
        <v>86</v>
      </c>
      <c r="BC19">
        <v>0.84099999999999997</v>
      </c>
      <c r="BD19">
        <v>0.63500000000000001</v>
      </c>
      <c r="BE19">
        <v>0</v>
      </c>
      <c r="BF19">
        <v>0.156</v>
      </c>
      <c r="BG19">
        <v>0</v>
      </c>
      <c r="BH19">
        <v>0.13400000000000001</v>
      </c>
      <c r="BI19">
        <v>0</v>
      </c>
      <c r="BJ19">
        <v>0.156</v>
      </c>
      <c r="BK19" t="s">
        <v>75</v>
      </c>
      <c r="BL19" t="s">
        <v>145</v>
      </c>
    </row>
    <row r="20" spans="1:64" x14ac:dyDescent="0.55000000000000004">
      <c r="A20" t="s">
        <v>138</v>
      </c>
      <c r="B20">
        <v>9</v>
      </c>
      <c r="C20">
        <v>2</v>
      </c>
      <c r="D20">
        <v>2</v>
      </c>
      <c r="E20">
        <v>1</v>
      </c>
      <c r="F20">
        <v>9.1999999999999993</v>
      </c>
      <c r="G20" t="s">
        <v>146</v>
      </c>
      <c r="H20" t="s">
        <v>140</v>
      </c>
      <c r="I20" t="s">
        <v>141</v>
      </c>
      <c r="J20">
        <v>2021</v>
      </c>
      <c r="K20" t="s">
        <v>69</v>
      </c>
      <c r="L20" t="s">
        <v>142</v>
      </c>
      <c r="M20" t="s">
        <v>108</v>
      </c>
      <c r="N20" t="s">
        <v>72</v>
      </c>
      <c r="O20" t="s">
        <v>143</v>
      </c>
      <c r="P20" s="9" t="s">
        <v>548</v>
      </c>
      <c r="Q20" t="s">
        <v>110</v>
      </c>
      <c r="R20" t="s">
        <v>75</v>
      </c>
      <c r="S20" t="s">
        <v>75</v>
      </c>
      <c r="T20" t="s">
        <v>75</v>
      </c>
      <c r="U20" t="s">
        <v>75</v>
      </c>
      <c r="V20" t="s">
        <v>76</v>
      </c>
      <c r="W20" t="s">
        <v>75</v>
      </c>
      <c r="X20" t="s">
        <v>111</v>
      </c>
      <c r="Y20" t="s">
        <v>111</v>
      </c>
      <c r="Z20" t="s">
        <v>77</v>
      </c>
      <c r="AA20" t="s">
        <v>78</v>
      </c>
      <c r="AB20" t="s">
        <v>110</v>
      </c>
      <c r="AC20" t="s">
        <v>113</v>
      </c>
      <c r="AD20" t="s">
        <v>545</v>
      </c>
      <c r="AE20" t="s">
        <v>79</v>
      </c>
      <c r="AF20" t="s">
        <v>75</v>
      </c>
      <c r="AG20" t="s">
        <v>147</v>
      </c>
      <c r="AH20" t="s">
        <v>76</v>
      </c>
      <c r="AI20" t="s">
        <v>75</v>
      </c>
      <c r="AJ20" t="s">
        <v>120</v>
      </c>
      <c r="AK20" t="s">
        <v>115</v>
      </c>
      <c r="AL20" t="s">
        <v>115</v>
      </c>
      <c r="AM20" t="s">
        <v>116</v>
      </c>
      <c r="AN20">
        <v>1296</v>
      </c>
      <c r="AO20">
        <v>216</v>
      </c>
      <c r="AP20">
        <v>216</v>
      </c>
      <c r="AQ20" t="s">
        <v>84</v>
      </c>
      <c r="AR20" t="s">
        <v>84</v>
      </c>
      <c r="AS20" t="s">
        <v>85</v>
      </c>
      <c r="AT20" t="s">
        <v>75</v>
      </c>
      <c r="AU20" t="s">
        <v>76</v>
      </c>
      <c r="AV20">
        <v>0.63500000000000001</v>
      </c>
      <c r="AW20">
        <v>0.84099999999999997</v>
      </c>
      <c r="AX20">
        <v>0.72399999999999998</v>
      </c>
      <c r="AY20">
        <v>0.63500000000000001</v>
      </c>
      <c r="AZ20">
        <v>0.84099999999999997</v>
      </c>
      <c r="BA20">
        <v>0.72399999999999998</v>
      </c>
      <c r="BB20" t="s">
        <v>86</v>
      </c>
      <c r="BC20">
        <v>0.84099999999999997</v>
      </c>
      <c r="BD20">
        <v>0.63500000000000001</v>
      </c>
      <c r="BE20">
        <v>0</v>
      </c>
      <c r="BF20">
        <v>0.156</v>
      </c>
      <c r="BG20">
        <v>0</v>
      </c>
      <c r="BH20">
        <v>0.13900000000000001</v>
      </c>
      <c r="BI20">
        <v>0</v>
      </c>
      <c r="BJ20">
        <v>0.156</v>
      </c>
      <c r="BK20" t="s">
        <v>75</v>
      </c>
      <c r="BL20" t="s">
        <v>148</v>
      </c>
    </row>
    <row r="21" spans="1:64" x14ac:dyDescent="0.55000000000000004">
      <c r="A21" t="s">
        <v>138</v>
      </c>
      <c r="B21">
        <v>9</v>
      </c>
      <c r="C21">
        <v>2</v>
      </c>
      <c r="D21">
        <v>3</v>
      </c>
      <c r="E21">
        <v>1</v>
      </c>
      <c r="F21">
        <v>9.1999999999999993</v>
      </c>
      <c r="G21" t="s">
        <v>149</v>
      </c>
      <c r="H21" t="s">
        <v>140</v>
      </c>
      <c r="I21" t="s">
        <v>141</v>
      </c>
      <c r="J21">
        <v>2021</v>
      </c>
      <c r="K21" t="s">
        <v>69</v>
      </c>
      <c r="L21" t="s">
        <v>142</v>
      </c>
      <c r="M21" t="s">
        <v>108</v>
      </c>
      <c r="N21" t="s">
        <v>72</v>
      </c>
      <c r="O21" t="s">
        <v>143</v>
      </c>
      <c r="P21" s="9" t="s">
        <v>548</v>
      </c>
      <c r="Q21" t="s">
        <v>110</v>
      </c>
      <c r="R21" t="s">
        <v>75</v>
      </c>
      <c r="S21" t="s">
        <v>75</v>
      </c>
      <c r="T21" t="s">
        <v>75</v>
      </c>
      <c r="U21" t="s">
        <v>75</v>
      </c>
      <c r="V21" t="s">
        <v>76</v>
      </c>
      <c r="W21" t="s">
        <v>75</v>
      </c>
      <c r="X21" t="s">
        <v>111</v>
      </c>
      <c r="Y21" t="s">
        <v>111</v>
      </c>
      <c r="Z21" t="s">
        <v>77</v>
      </c>
      <c r="AA21" t="s">
        <v>78</v>
      </c>
      <c r="AB21" t="s">
        <v>110</v>
      </c>
      <c r="AC21" t="s">
        <v>113</v>
      </c>
      <c r="AD21" t="s">
        <v>545</v>
      </c>
      <c r="AE21" t="s">
        <v>79</v>
      </c>
      <c r="AF21" t="s">
        <v>75</v>
      </c>
      <c r="AG21" t="s">
        <v>150</v>
      </c>
      <c r="AH21" t="s">
        <v>76</v>
      </c>
      <c r="AI21" t="s">
        <v>75</v>
      </c>
      <c r="AJ21" t="s">
        <v>120</v>
      </c>
      <c r="AK21" t="s">
        <v>115</v>
      </c>
      <c r="AL21" t="s">
        <v>115</v>
      </c>
      <c r="AM21" t="s">
        <v>116</v>
      </c>
      <c r="AN21">
        <v>1296</v>
      </c>
      <c r="AO21">
        <v>216</v>
      </c>
      <c r="AP21">
        <v>216</v>
      </c>
      <c r="AQ21" t="s">
        <v>84</v>
      </c>
      <c r="AR21" t="s">
        <v>84</v>
      </c>
      <c r="AS21" t="s">
        <v>85</v>
      </c>
      <c r="AT21" t="s">
        <v>75</v>
      </c>
      <c r="AU21" t="s">
        <v>76</v>
      </c>
      <c r="AV21">
        <v>0.68400000000000005</v>
      </c>
      <c r="AW21">
        <v>0.76600000000000001</v>
      </c>
      <c r="AX21">
        <v>0.73499999999999999</v>
      </c>
      <c r="AY21">
        <v>0.68400000000000005</v>
      </c>
      <c r="AZ21">
        <v>0.76600000000000001</v>
      </c>
      <c r="BA21">
        <v>0.73499999999999999</v>
      </c>
      <c r="BB21" t="s">
        <v>86</v>
      </c>
      <c r="BC21">
        <v>0.76600000000000001</v>
      </c>
      <c r="BD21">
        <v>0.68400000000000005</v>
      </c>
      <c r="BE21">
        <v>0</v>
      </c>
      <c r="BF21">
        <v>0.17699999999999999</v>
      </c>
      <c r="BG21">
        <v>0</v>
      </c>
      <c r="BH21">
        <v>0.10199999999999999</v>
      </c>
      <c r="BI21">
        <v>0</v>
      </c>
      <c r="BJ21">
        <v>0.17699999999999999</v>
      </c>
      <c r="BK21" t="s">
        <v>75</v>
      </c>
      <c r="BL21" t="s">
        <v>151</v>
      </c>
    </row>
    <row r="22" spans="1:64" x14ac:dyDescent="0.55000000000000004">
      <c r="A22" t="s">
        <v>138</v>
      </c>
      <c r="B22">
        <v>9</v>
      </c>
      <c r="C22">
        <v>2</v>
      </c>
      <c r="D22">
        <v>4</v>
      </c>
      <c r="E22">
        <v>1</v>
      </c>
      <c r="F22">
        <v>9.1999999999999993</v>
      </c>
      <c r="G22" t="s">
        <v>152</v>
      </c>
      <c r="H22" t="s">
        <v>140</v>
      </c>
      <c r="I22" t="s">
        <v>141</v>
      </c>
      <c r="J22">
        <v>2021</v>
      </c>
      <c r="K22" t="s">
        <v>69</v>
      </c>
      <c r="L22" t="s">
        <v>142</v>
      </c>
      <c r="M22" t="s">
        <v>108</v>
      </c>
      <c r="N22" t="s">
        <v>72</v>
      </c>
      <c r="O22" t="s">
        <v>143</v>
      </c>
      <c r="P22" s="9" t="s">
        <v>548</v>
      </c>
      <c r="Q22" t="s">
        <v>110</v>
      </c>
      <c r="R22" t="s">
        <v>75</v>
      </c>
      <c r="S22" t="s">
        <v>75</v>
      </c>
      <c r="T22" t="s">
        <v>75</v>
      </c>
      <c r="U22" t="s">
        <v>75</v>
      </c>
      <c r="V22" t="s">
        <v>76</v>
      </c>
      <c r="W22" t="s">
        <v>75</v>
      </c>
      <c r="X22" t="s">
        <v>111</v>
      </c>
      <c r="Y22" t="s">
        <v>111</v>
      </c>
      <c r="Z22" t="s">
        <v>77</v>
      </c>
      <c r="AA22" t="s">
        <v>78</v>
      </c>
      <c r="AB22" t="s">
        <v>110</v>
      </c>
      <c r="AC22" t="s">
        <v>113</v>
      </c>
      <c r="AD22" t="s">
        <v>545</v>
      </c>
      <c r="AE22" t="s">
        <v>79</v>
      </c>
      <c r="AF22" t="s">
        <v>75</v>
      </c>
      <c r="AG22" t="s">
        <v>153</v>
      </c>
      <c r="AH22" t="s">
        <v>76</v>
      </c>
      <c r="AI22" t="s">
        <v>75</v>
      </c>
      <c r="AJ22" t="s">
        <v>120</v>
      </c>
      <c r="AK22" t="s">
        <v>115</v>
      </c>
      <c r="AL22" t="s">
        <v>115</v>
      </c>
      <c r="AM22" t="s">
        <v>116</v>
      </c>
      <c r="AN22">
        <v>1296</v>
      </c>
      <c r="AO22">
        <v>216</v>
      </c>
      <c r="AP22">
        <v>216</v>
      </c>
      <c r="AQ22" t="s">
        <v>84</v>
      </c>
      <c r="AR22" t="s">
        <v>84</v>
      </c>
      <c r="AS22" t="s">
        <v>85</v>
      </c>
      <c r="AT22" t="s">
        <v>75</v>
      </c>
      <c r="AU22" t="s">
        <v>76</v>
      </c>
      <c r="AV22">
        <v>0.68400000000000005</v>
      </c>
      <c r="AW22">
        <v>0.76600000000000001</v>
      </c>
      <c r="AX22">
        <v>0.72799999999999998</v>
      </c>
      <c r="AY22">
        <v>0.68400000000000005</v>
      </c>
      <c r="AZ22">
        <v>0.76600000000000001</v>
      </c>
      <c r="BA22">
        <v>0.72799999999999998</v>
      </c>
      <c r="BB22" t="s">
        <v>86</v>
      </c>
      <c r="BC22">
        <v>0.76600000000000001</v>
      </c>
      <c r="BD22">
        <v>0.68400000000000005</v>
      </c>
      <c r="BE22">
        <v>0</v>
      </c>
      <c r="BF22">
        <v>0.17699999999999999</v>
      </c>
      <c r="BG22">
        <v>0</v>
      </c>
      <c r="BH22">
        <v>0.13</v>
      </c>
      <c r="BI22">
        <v>0</v>
      </c>
      <c r="BJ22">
        <v>0.17699999999999999</v>
      </c>
      <c r="BK22" t="s">
        <v>75</v>
      </c>
      <c r="BL22" t="s">
        <v>154</v>
      </c>
    </row>
    <row r="23" spans="1:64" x14ac:dyDescent="0.55000000000000004">
      <c r="A23" t="s">
        <v>155</v>
      </c>
      <c r="B23">
        <v>14</v>
      </c>
      <c r="C23">
        <v>1</v>
      </c>
      <c r="D23">
        <v>1</v>
      </c>
      <c r="E23">
        <v>1</v>
      </c>
      <c r="F23">
        <v>14.1</v>
      </c>
      <c r="G23" t="s">
        <v>156</v>
      </c>
      <c r="H23" t="s">
        <v>157</v>
      </c>
      <c r="I23" t="s">
        <v>158</v>
      </c>
      <c r="J23">
        <v>2023</v>
      </c>
      <c r="K23" t="s">
        <v>69</v>
      </c>
      <c r="L23" t="s">
        <v>159</v>
      </c>
      <c r="M23" t="s">
        <v>108</v>
      </c>
      <c r="N23" t="s">
        <v>72</v>
      </c>
      <c r="O23" t="s">
        <v>160</v>
      </c>
      <c r="P23" s="9" t="s">
        <v>548</v>
      </c>
      <c r="Q23" t="s">
        <v>162</v>
      </c>
      <c r="R23" t="s">
        <v>76</v>
      </c>
      <c r="S23" t="s">
        <v>75</v>
      </c>
      <c r="T23" t="s">
        <v>75</v>
      </c>
      <c r="U23" t="s">
        <v>76</v>
      </c>
      <c r="V23" t="s">
        <v>75</v>
      </c>
      <c r="W23" t="s">
        <v>75</v>
      </c>
      <c r="X23" t="s">
        <v>135</v>
      </c>
      <c r="Y23" t="s">
        <v>135</v>
      </c>
      <c r="Z23" t="s">
        <v>77</v>
      </c>
      <c r="AA23" t="s">
        <v>78</v>
      </c>
      <c r="AB23" t="s">
        <v>161</v>
      </c>
      <c r="AC23" t="s">
        <v>74</v>
      </c>
      <c r="AD23" t="s">
        <v>545</v>
      </c>
      <c r="AE23" t="s">
        <v>79</v>
      </c>
      <c r="AF23" t="s">
        <v>75</v>
      </c>
      <c r="AG23" t="s">
        <v>163</v>
      </c>
      <c r="AH23" t="s">
        <v>75</v>
      </c>
      <c r="AI23" t="s">
        <v>76</v>
      </c>
      <c r="AK23" t="s">
        <v>115</v>
      </c>
      <c r="AL23" t="s">
        <v>115</v>
      </c>
      <c r="AM23" t="s">
        <v>116</v>
      </c>
      <c r="AN23">
        <v>293</v>
      </c>
      <c r="AO23">
        <v>59</v>
      </c>
      <c r="AP23">
        <v>59</v>
      </c>
      <c r="AQ23" t="s">
        <v>84</v>
      </c>
      <c r="AR23" t="s">
        <v>84</v>
      </c>
      <c r="AS23" t="s">
        <v>164</v>
      </c>
      <c r="AT23" t="s">
        <v>75</v>
      </c>
      <c r="AU23" t="s">
        <v>76</v>
      </c>
      <c r="AV23">
        <v>0.72099999999999997</v>
      </c>
      <c r="AW23">
        <v>0.7</v>
      </c>
      <c r="AX23">
        <v>0.72</v>
      </c>
      <c r="AY23">
        <v>0.72099999999999997</v>
      </c>
      <c r="AZ23">
        <v>0.7</v>
      </c>
      <c r="BA23">
        <v>0.72</v>
      </c>
      <c r="BB23" t="s">
        <v>79</v>
      </c>
      <c r="BC23">
        <v>0.72099999999999997</v>
      </c>
      <c r="BD23">
        <v>0.7</v>
      </c>
      <c r="BE23">
        <v>0</v>
      </c>
      <c r="BF23">
        <v>0.113</v>
      </c>
      <c r="BG23">
        <v>0</v>
      </c>
      <c r="BH23">
        <v>9.9000000000000005E-2</v>
      </c>
      <c r="BI23">
        <v>0.113</v>
      </c>
      <c r="BJ23">
        <v>0</v>
      </c>
      <c r="BK23" t="s">
        <v>75</v>
      </c>
      <c r="BL23" t="s">
        <v>165</v>
      </c>
    </row>
    <row r="24" spans="1:64" x14ac:dyDescent="0.55000000000000004">
      <c r="A24" t="s">
        <v>155</v>
      </c>
      <c r="B24">
        <v>14</v>
      </c>
      <c r="C24">
        <v>1</v>
      </c>
      <c r="D24">
        <v>2</v>
      </c>
      <c r="E24">
        <v>1</v>
      </c>
      <c r="F24">
        <v>14.1</v>
      </c>
      <c r="G24" t="s">
        <v>166</v>
      </c>
      <c r="H24" t="s">
        <v>157</v>
      </c>
      <c r="I24" t="s">
        <v>158</v>
      </c>
      <c r="J24">
        <v>2023</v>
      </c>
      <c r="K24" t="s">
        <v>69</v>
      </c>
      <c r="L24" t="s">
        <v>159</v>
      </c>
      <c r="M24" t="s">
        <v>108</v>
      </c>
      <c r="N24" t="s">
        <v>72</v>
      </c>
      <c r="O24" t="s">
        <v>160</v>
      </c>
      <c r="P24" s="9" t="s">
        <v>548</v>
      </c>
      <c r="Q24" t="s">
        <v>162</v>
      </c>
      <c r="R24" t="s">
        <v>76</v>
      </c>
      <c r="S24" t="s">
        <v>75</v>
      </c>
      <c r="T24" t="s">
        <v>75</v>
      </c>
      <c r="U24" t="s">
        <v>76</v>
      </c>
      <c r="V24" t="s">
        <v>75</v>
      </c>
      <c r="W24" t="s">
        <v>75</v>
      </c>
      <c r="X24" t="s">
        <v>135</v>
      </c>
      <c r="Y24" t="s">
        <v>135</v>
      </c>
      <c r="Z24" t="s">
        <v>77</v>
      </c>
      <c r="AA24" t="s">
        <v>78</v>
      </c>
      <c r="AB24" t="s">
        <v>161</v>
      </c>
      <c r="AC24" t="s">
        <v>74</v>
      </c>
      <c r="AD24" t="s">
        <v>545</v>
      </c>
      <c r="AE24" t="s">
        <v>79</v>
      </c>
      <c r="AF24" t="s">
        <v>75</v>
      </c>
      <c r="AG24" t="s">
        <v>167</v>
      </c>
      <c r="AH24" t="s">
        <v>75</v>
      </c>
      <c r="AI24" t="s">
        <v>76</v>
      </c>
      <c r="AK24" t="s">
        <v>115</v>
      </c>
      <c r="AL24" t="s">
        <v>115</v>
      </c>
      <c r="AM24" t="s">
        <v>116</v>
      </c>
      <c r="AN24">
        <v>293</v>
      </c>
      <c r="AO24">
        <v>59</v>
      </c>
      <c r="AP24">
        <v>59</v>
      </c>
      <c r="AQ24" t="s">
        <v>84</v>
      </c>
      <c r="AR24" t="s">
        <v>84</v>
      </c>
      <c r="AS24" t="s">
        <v>164</v>
      </c>
      <c r="AT24" t="s">
        <v>75</v>
      </c>
      <c r="AU24" t="s">
        <v>76</v>
      </c>
      <c r="AV24">
        <v>0.72099999999999997</v>
      </c>
      <c r="AW24">
        <v>0.7</v>
      </c>
      <c r="AX24">
        <v>0.75800000000000001</v>
      </c>
      <c r="AY24">
        <v>0.72099999999999997</v>
      </c>
      <c r="AZ24">
        <v>0.7</v>
      </c>
      <c r="BA24">
        <v>0.75800000000000001</v>
      </c>
      <c r="BB24" t="s">
        <v>79</v>
      </c>
      <c r="BC24">
        <v>0.72099999999999997</v>
      </c>
      <c r="BD24">
        <v>0.7</v>
      </c>
      <c r="BE24">
        <v>1</v>
      </c>
      <c r="BF24">
        <v>0.113</v>
      </c>
      <c r="BG24">
        <v>0</v>
      </c>
      <c r="BH24">
        <v>7.8E-2</v>
      </c>
      <c r="BI24">
        <v>0.113</v>
      </c>
      <c r="BJ24">
        <v>0</v>
      </c>
      <c r="BK24" t="s">
        <v>75</v>
      </c>
      <c r="BL24" t="s">
        <v>168</v>
      </c>
    </row>
    <row r="25" spans="1:64" x14ac:dyDescent="0.55000000000000004">
      <c r="A25" t="s">
        <v>155</v>
      </c>
      <c r="B25">
        <v>14</v>
      </c>
      <c r="C25">
        <v>1</v>
      </c>
      <c r="D25">
        <v>3</v>
      </c>
      <c r="E25">
        <v>1</v>
      </c>
      <c r="F25">
        <v>14.1</v>
      </c>
      <c r="G25" t="s">
        <v>169</v>
      </c>
      <c r="H25" t="s">
        <v>157</v>
      </c>
      <c r="I25" t="s">
        <v>158</v>
      </c>
      <c r="J25">
        <v>2023</v>
      </c>
      <c r="K25" t="s">
        <v>69</v>
      </c>
      <c r="L25" t="s">
        <v>159</v>
      </c>
      <c r="M25" t="s">
        <v>108</v>
      </c>
      <c r="N25" t="s">
        <v>72</v>
      </c>
      <c r="O25" t="s">
        <v>160</v>
      </c>
      <c r="P25" s="9" t="s">
        <v>548</v>
      </c>
      <c r="Q25" t="s">
        <v>162</v>
      </c>
      <c r="R25" t="s">
        <v>76</v>
      </c>
      <c r="S25" t="s">
        <v>75</v>
      </c>
      <c r="T25" t="s">
        <v>75</v>
      </c>
      <c r="U25" t="s">
        <v>76</v>
      </c>
      <c r="V25" t="s">
        <v>75</v>
      </c>
      <c r="W25" t="s">
        <v>75</v>
      </c>
      <c r="X25" t="s">
        <v>135</v>
      </c>
      <c r="Y25" t="s">
        <v>135</v>
      </c>
      <c r="Z25" t="s">
        <v>77</v>
      </c>
      <c r="AA25" t="s">
        <v>78</v>
      </c>
      <c r="AB25" t="s">
        <v>161</v>
      </c>
      <c r="AC25" t="s">
        <v>74</v>
      </c>
      <c r="AD25" t="s">
        <v>545</v>
      </c>
      <c r="AE25" t="s">
        <v>79</v>
      </c>
      <c r="AF25" t="s">
        <v>75</v>
      </c>
      <c r="AG25" t="s">
        <v>170</v>
      </c>
      <c r="AH25" t="s">
        <v>75</v>
      </c>
      <c r="AI25" t="s">
        <v>76</v>
      </c>
      <c r="AK25" t="s">
        <v>115</v>
      </c>
      <c r="AL25" t="s">
        <v>115</v>
      </c>
      <c r="AM25" t="s">
        <v>116</v>
      </c>
      <c r="AN25">
        <v>293</v>
      </c>
      <c r="AO25">
        <v>59</v>
      </c>
      <c r="AP25">
        <v>56</v>
      </c>
      <c r="AQ25" t="s">
        <v>84</v>
      </c>
      <c r="AR25" t="s">
        <v>84</v>
      </c>
      <c r="AS25" t="s">
        <v>164</v>
      </c>
      <c r="AT25" t="s">
        <v>75</v>
      </c>
      <c r="AU25" t="s">
        <v>76</v>
      </c>
      <c r="AV25">
        <v>0.72099999999999997</v>
      </c>
      <c r="AW25">
        <v>0.7</v>
      </c>
      <c r="AX25">
        <v>0.76700000000000002</v>
      </c>
      <c r="AY25">
        <v>0.72099999999999997</v>
      </c>
      <c r="AZ25">
        <v>0.7</v>
      </c>
      <c r="BA25">
        <v>0.76700000000000002</v>
      </c>
      <c r="BB25" t="s">
        <v>79</v>
      </c>
      <c r="BC25">
        <v>0.72099999999999997</v>
      </c>
      <c r="BD25">
        <v>0.7</v>
      </c>
      <c r="BE25">
        <v>1</v>
      </c>
      <c r="BF25">
        <v>0.113</v>
      </c>
      <c r="BG25">
        <v>0</v>
      </c>
      <c r="BH25">
        <v>8.5000000000000006E-2</v>
      </c>
      <c r="BI25">
        <v>0.113</v>
      </c>
      <c r="BJ25">
        <v>0</v>
      </c>
      <c r="BK25" t="s">
        <v>75</v>
      </c>
      <c r="BL25" t="s">
        <v>165</v>
      </c>
    </row>
    <row r="26" spans="1:64" x14ac:dyDescent="0.55000000000000004">
      <c r="A26" t="s">
        <v>155</v>
      </c>
      <c r="B26">
        <v>14</v>
      </c>
      <c r="C26">
        <v>1</v>
      </c>
      <c r="D26">
        <v>4</v>
      </c>
      <c r="E26">
        <v>1</v>
      </c>
      <c r="F26">
        <v>14.1</v>
      </c>
      <c r="G26" t="s">
        <v>171</v>
      </c>
      <c r="H26" t="s">
        <v>157</v>
      </c>
      <c r="I26" t="s">
        <v>158</v>
      </c>
      <c r="J26">
        <v>2023</v>
      </c>
      <c r="K26" t="s">
        <v>69</v>
      </c>
      <c r="L26" t="s">
        <v>159</v>
      </c>
      <c r="M26" t="s">
        <v>108</v>
      </c>
      <c r="N26" t="s">
        <v>72</v>
      </c>
      <c r="O26" t="s">
        <v>160</v>
      </c>
      <c r="P26" s="9" t="s">
        <v>548</v>
      </c>
      <c r="Q26" t="s">
        <v>162</v>
      </c>
      <c r="R26" t="s">
        <v>76</v>
      </c>
      <c r="S26" t="s">
        <v>75</v>
      </c>
      <c r="T26" t="s">
        <v>75</v>
      </c>
      <c r="U26" t="s">
        <v>76</v>
      </c>
      <c r="V26" t="s">
        <v>75</v>
      </c>
      <c r="W26" t="s">
        <v>75</v>
      </c>
      <c r="X26" t="s">
        <v>135</v>
      </c>
      <c r="Y26" t="s">
        <v>135</v>
      </c>
      <c r="Z26" t="s">
        <v>77</v>
      </c>
      <c r="AA26" t="s">
        <v>78</v>
      </c>
      <c r="AB26" t="s">
        <v>161</v>
      </c>
      <c r="AC26" t="s">
        <v>74</v>
      </c>
      <c r="AD26" t="s">
        <v>545</v>
      </c>
      <c r="AE26" t="s">
        <v>79</v>
      </c>
      <c r="AF26" t="s">
        <v>75</v>
      </c>
      <c r="AG26" t="s">
        <v>172</v>
      </c>
      <c r="AH26" t="s">
        <v>76</v>
      </c>
      <c r="AI26" t="s">
        <v>76</v>
      </c>
      <c r="AJ26" t="s">
        <v>91</v>
      </c>
      <c r="AK26" t="s">
        <v>115</v>
      </c>
      <c r="AL26" t="s">
        <v>115</v>
      </c>
      <c r="AM26" t="s">
        <v>116</v>
      </c>
      <c r="AN26">
        <v>293</v>
      </c>
      <c r="AO26">
        <v>59</v>
      </c>
      <c r="AP26">
        <v>56</v>
      </c>
      <c r="AQ26" t="s">
        <v>84</v>
      </c>
      <c r="AR26" t="s">
        <v>84</v>
      </c>
      <c r="AS26" t="s">
        <v>164</v>
      </c>
      <c r="AT26" t="s">
        <v>75</v>
      </c>
      <c r="AU26" t="s">
        <v>76</v>
      </c>
      <c r="AV26">
        <v>0.72099999999999997</v>
      </c>
      <c r="AW26">
        <v>0.7</v>
      </c>
      <c r="AX26">
        <v>0.754</v>
      </c>
      <c r="AY26">
        <v>0.72099999999999997</v>
      </c>
      <c r="AZ26">
        <v>0.7</v>
      </c>
      <c r="BA26">
        <v>0.754</v>
      </c>
      <c r="BB26" t="s">
        <v>79</v>
      </c>
      <c r="BC26">
        <v>0.72099999999999997</v>
      </c>
      <c r="BD26">
        <v>0.7</v>
      </c>
      <c r="BE26">
        <v>1</v>
      </c>
      <c r="BF26">
        <v>0.113</v>
      </c>
      <c r="BG26">
        <v>0</v>
      </c>
      <c r="BH26">
        <v>7.1999999999999995E-2</v>
      </c>
      <c r="BI26">
        <v>0.113</v>
      </c>
      <c r="BJ26">
        <v>0</v>
      </c>
      <c r="BK26" t="s">
        <v>75</v>
      </c>
      <c r="BL26" t="s">
        <v>168</v>
      </c>
    </row>
    <row r="27" spans="1:64" x14ac:dyDescent="0.55000000000000004">
      <c r="A27" t="s">
        <v>173</v>
      </c>
      <c r="B27">
        <v>20</v>
      </c>
      <c r="C27">
        <v>1</v>
      </c>
      <c r="D27">
        <v>1</v>
      </c>
      <c r="E27">
        <v>1</v>
      </c>
      <c r="F27">
        <v>20.100000000000001</v>
      </c>
      <c r="G27" t="s">
        <v>174</v>
      </c>
      <c r="H27" t="s">
        <v>175</v>
      </c>
      <c r="I27" t="s">
        <v>176</v>
      </c>
      <c r="J27">
        <v>2022</v>
      </c>
      <c r="K27" t="s">
        <v>69</v>
      </c>
      <c r="L27" t="s">
        <v>177</v>
      </c>
      <c r="M27" t="s">
        <v>99</v>
      </c>
      <c r="N27" t="s">
        <v>100</v>
      </c>
      <c r="O27" t="s">
        <v>178</v>
      </c>
      <c r="P27" t="str">
        <f>VLOOKUP(O27,Sheet3!$A$1:$B$22,2,0)</f>
        <v>Demand Forecasting</v>
      </c>
      <c r="Q27" t="s">
        <v>74</v>
      </c>
      <c r="R27" t="s">
        <v>75</v>
      </c>
      <c r="S27" t="s">
        <v>75</v>
      </c>
      <c r="T27" t="s">
        <v>75</v>
      </c>
      <c r="U27" t="s">
        <v>76</v>
      </c>
      <c r="V27" t="s">
        <v>75</v>
      </c>
      <c r="W27" t="s">
        <v>75</v>
      </c>
      <c r="X27" t="s">
        <v>74</v>
      </c>
      <c r="Y27" t="s">
        <v>74</v>
      </c>
      <c r="Z27" t="s">
        <v>77</v>
      </c>
      <c r="AA27" t="s">
        <v>78</v>
      </c>
      <c r="AB27" t="s">
        <v>74</v>
      </c>
      <c r="AC27" t="s">
        <v>179</v>
      </c>
      <c r="AD27" t="s">
        <v>545</v>
      </c>
      <c r="AE27" t="s">
        <v>79</v>
      </c>
      <c r="AF27" t="s">
        <v>75</v>
      </c>
      <c r="AG27" t="s">
        <v>180</v>
      </c>
      <c r="AH27" t="s">
        <v>75</v>
      </c>
      <c r="AI27" t="s">
        <v>75</v>
      </c>
      <c r="AK27" t="s">
        <v>181</v>
      </c>
      <c r="AL27" t="s">
        <v>82</v>
      </c>
      <c r="AM27" t="s">
        <v>83</v>
      </c>
      <c r="AN27">
        <v>509</v>
      </c>
      <c r="AO27">
        <v>171</v>
      </c>
      <c r="AP27">
        <v>171</v>
      </c>
      <c r="AQ27" t="s">
        <v>84</v>
      </c>
      <c r="AR27" t="s">
        <v>84</v>
      </c>
      <c r="AS27" t="s">
        <v>85</v>
      </c>
      <c r="AT27" t="s">
        <v>75</v>
      </c>
      <c r="AU27" t="s">
        <v>76</v>
      </c>
      <c r="AV27">
        <v>179.54</v>
      </c>
      <c r="AW27">
        <v>66.2</v>
      </c>
      <c r="AX27">
        <v>111.24</v>
      </c>
      <c r="AY27">
        <v>-179.54</v>
      </c>
      <c r="AZ27">
        <v>-66.2</v>
      </c>
      <c r="BA27">
        <v>-111.24</v>
      </c>
      <c r="BB27" t="s">
        <v>86</v>
      </c>
      <c r="BC27">
        <v>-66.2</v>
      </c>
      <c r="BD27">
        <v>-179.54</v>
      </c>
      <c r="BE27">
        <v>0</v>
      </c>
      <c r="BF27">
        <v>47.93</v>
      </c>
      <c r="BG27">
        <v>0</v>
      </c>
      <c r="BH27">
        <v>42.24</v>
      </c>
      <c r="BI27">
        <v>0</v>
      </c>
      <c r="BJ27">
        <v>47.93</v>
      </c>
      <c r="BK27" t="s">
        <v>75</v>
      </c>
      <c r="BL27" t="s">
        <v>182</v>
      </c>
    </row>
    <row r="28" spans="1:64" x14ac:dyDescent="0.55000000000000004">
      <c r="A28" t="s">
        <v>173</v>
      </c>
      <c r="B28">
        <v>20</v>
      </c>
      <c r="C28">
        <v>1</v>
      </c>
      <c r="D28">
        <v>2</v>
      </c>
      <c r="E28">
        <v>1</v>
      </c>
      <c r="F28">
        <v>20.100000000000001</v>
      </c>
      <c r="G28" t="s">
        <v>183</v>
      </c>
      <c r="H28" t="s">
        <v>175</v>
      </c>
      <c r="I28" t="s">
        <v>176</v>
      </c>
      <c r="J28">
        <v>2022</v>
      </c>
      <c r="K28" t="s">
        <v>69</v>
      </c>
      <c r="L28" t="s">
        <v>177</v>
      </c>
      <c r="M28" t="s">
        <v>99</v>
      </c>
      <c r="N28" t="s">
        <v>100</v>
      </c>
      <c r="O28" t="s">
        <v>178</v>
      </c>
      <c r="P28" t="str">
        <f>VLOOKUP(O28,Sheet3!$A$1:$B$22,2,0)</f>
        <v>Demand Forecasting</v>
      </c>
      <c r="Q28" t="s">
        <v>74</v>
      </c>
      <c r="R28" t="s">
        <v>75</v>
      </c>
      <c r="S28" t="s">
        <v>75</v>
      </c>
      <c r="T28" t="s">
        <v>75</v>
      </c>
      <c r="U28" t="s">
        <v>76</v>
      </c>
      <c r="V28" t="s">
        <v>75</v>
      </c>
      <c r="W28" t="s">
        <v>75</v>
      </c>
      <c r="X28" t="s">
        <v>74</v>
      </c>
      <c r="Y28" t="s">
        <v>74</v>
      </c>
      <c r="Z28" t="s">
        <v>77</v>
      </c>
      <c r="AA28" t="s">
        <v>78</v>
      </c>
      <c r="AB28" t="s">
        <v>74</v>
      </c>
      <c r="AC28" t="s">
        <v>179</v>
      </c>
      <c r="AD28" t="s">
        <v>545</v>
      </c>
      <c r="AE28" t="s">
        <v>79</v>
      </c>
      <c r="AF28" t="s">
        <v>75</v>
      </c>
      <c r="AG28" t="s">
        <v>184</v>
      </c>
      <c r="AH28" t="s">
        <v>76</v>
      </c>
      <c r="AI28" t="s">
        <v>75</v>
      </c>
      <c r="AJ28" t="s">
        <v>185</v>
      </c>
      <c r="AK28" t="s">
        <v>181</v>
      </c>
      <c r="AL28" t="s">
        <v>82</v>
      </c>
      <c r="AM28" t="s">
        <v>83</v>
      </c>
      <c r="AN28">
        <v>509</v>
      </c>
      <c r="AO28">
        <v>171</v>
      </c>
      <c r="AP28">
        <v>171</v>
      </c>
      <c r="AQ28" t="s">
        <v>84</v>
      </c>
      <c r="AR28" t="s">
        <v>84</v>
      </c>
      <c r="AS28" t="s">
        <v>85</v>
      </c>
      <c r="AT28" t="s">
        <v>75</v>
      </c>
      <c r="AU28" t="s">
        <v>76</v>
      </c>
      <c r="AV28">
        <v>184.04</v>
      </c>
      <c r="AW28">
        <v>66.2</v>
      </c>
      <c r="AX28">
        <v>135</v>
      </c>
      <c r="AY28">
        <v>-184.04</v>
      </c>
      <c r="AZ28">
        <v>-66.2</v>
      </c>
      <c r="BA28">
        <v>-135</v>
      </c>
      <c r="BB28" t="s">
        <v>86</v>
      </c>
      <c r="BC28">
        <v>-66.2</v>
      </c>
      <c r="BD28">
        <v>-184.04</v>
      </c>
      <c r="BE28">
        <v>0</v>
      </c>
      <c r="BF28">
        <v>47.29</v>
      </c>
      <c r="BG28">
        <v>0</v>
      </c>
      <c r="BH28">
        <v>55.45</v>
      </c>
      <c r="BI28">
        <v>0</v>
      </c>
      <c r="BJ28">
        <v>47.29</v>
      </c>
      <c r="BK28" t="s">
        <v>75</v>
      </c>
      <c r="BL28" t="s">
        <v>186</v>
      </c>
    </row>
    <row r="29" spans="1:64" x14ac:dyDescent="0.55000000000000004">
      <c r="A29" t="s">
        <v>173</v>
      </c>
      <c r="B29">
        <v>20</v>
      </c>
      <c r="C29">
        <v>1</v>
      </c>
      <c r="D29">
        <v>3</v>
      </c>
      <c r="E29">
        <v>1</v>
      </c>
      <c r="F29">
        <v>20.100000000000001</v>
      </c>
      <c r="G29" t="s">
        <v>187</v>
      </c>
      <c r="H29" t="s">
        <v>175</v>
      </c>
      <c r="I29" t="s">
        <v>176</v>
      </c>
      <c r="J29">
        <v>2022</v>
      </c>
      <c r="K29" t="s">
        <v>69</v>
      </c>
      <c r="L29" t="s">
        <v>177</v>
      </c>
      <c r="M29" t="s">
        <v>99</v>
      </c>
      <c r="N29" t="s">
        <v>100</v>
      </c>
      <c r="O29" t="s">
        <v>178</v>
      </c>
      <c r="P29" t="str">
        <f>VLOOKUP(O29,Sheet3!$A$1:$B$22,2,0)</f>
        <v>Demand Forecasting</v>
      </c>
      <c r="Q29" t="s">
        <v>74</v>
      </c>
      <c r="R29" t="s">
        <v>75</v>
      </c>
      <c r="S29" t="s">
        <v>75</v>
      </c>
      <c r="T29" t="s">
        <v>75</v>
      </c>
      <c r="U29" t="s">
        <v>76</v>
      </c>
      <c r="V29" t="s">
        <v>75</v>
      </c>
      <c r="W29" t="s">
        <v>75</v>
      </c>
      <c r="X29" t="s">
        <v>74</v>
      </c>
      <c r="Y29" t="s">
        <v>74</v>
      </c>
      <c r="Z29" t="s">
        <v>77</v>
      </c>
      <c r="AA29" t="s">
        <v>78</v>
      </c>
      <c r="AB29" t="s">
        <v>74</v>
      </c>
      <c r="AC29" t="s">
        <v>179</v>
      </c>
      <c r="AD29" t="s">
        <v>545</v>
      </c>
      <c r="AE29" t="s">
        <v>79</v>
      </c>
      <c r="AF29" t="s">
        <v>75</v>
      </c>
      <c r="AG29" t="s">
        <v>188</v>
      </c>
      <c r="AH29" t="s">
        <v>76</v>
      </c>
      <c r="AI29" t="s">
        <v>75</v>
      </c>
      <c r="AJ29" t="s">
        <v>120</v>
      </c>
      <c r="AK29" t="s">
        <v>181</v>
      </c>
      <c r="AL29" t="s">
        <v>82</v>
      </c>
      <c r="AM29" t="s">
        <v>83</v>
      </c>
      <c r="AN29">
        <v>509</v>
      </c>
      <c r="AO29">
        <v>167</v>
      </c>
      <c r="AP29">
        <v>167</v>
      </c>
      <c r="AQ29" t="s">
        <v>84</v>
      </c>
      <c r="AR29" t="s">
        <v>84</v>
      </c>
      <c r="AS29" t="s">
        <v>85</v>
      </c>
      <c r="AT29" t="s">
        <v>75</v>
      </c>
      <c r="AU29" t="s">
        <v>76</v>
      </c>
      <c r="AV29">
        <v>181.81</v>
      </c>
      <c r="AW29">
        <v>66.2</v>
      </c>
      <c r="AX29">
        <v>106.79</v>
      </c>
      <c r="AY29">
        <v>-181.81</v>
      </c>
      <c r="AZ29">
        <v>-66.2</v>
      </c>
      <c r="BA29">
        <v>-106.79</v>
      </c>
      <c r="BB29" t="s">
        <v>86</v>
      </c>
      <c r="BC29">
        <v>-66.2</v>
      </c>
      <c r="BD29">
        <v>-181.81</v>
      </c>
      <c r="BE29">
        <v>0</v>
      </c>
      <c r="BF29">
        <v>43.61</v>
      </c>
      <c r="BG29">
        <v>0</v>
      </c>
      <c r="BH29">
        <v>42.9</v>
      </c>
      <c r="BI29">
        <v>0</v>
      </c>
      <c r="BJ29">
        <v>43.61</v>
      </c>
      <c r="BK29" t="s">
        <v>75</v>
      </c>
      <c r="BL29" t="s">
        <v>182</v>
      </c>
    </row>
    <row r="30" spans="1:64" x14ac:dyDescent="0.55000000000000004">
      <c r="A30" t="s">
        <v>189</v>
      </c>
      <c r="B30">
        <v>27</v>
      </c>
      <c r="C30">
        <v>1</v>
      </c>
      <c r="D30">
        <v>1</v>
      </c>
      <c r="E30">
        <v>1</v>
      </c>
      <c r="F30">
        <v>27.1</v>
      </c>
      <c r="G30" t="s">
        <v>190</v>
      </c>
      <c r="H30" t="s">
        <v>191</v>
      </c>
      <c r="I30" t="s">
        <v>192</v>
      </c>
      <c r="J30">
        <v>2021</v>
      </c>
      <c r="K30" t="s">
        <v>69</v>
      </c>
      <c r="L30" t="s">
        <v>193</v>
      </c>
      <c r="M30" t="s">
        <v>108</v>
      </c>
      <c r="N30" t="s">
        <v>72</v>
      </c>
      <c r="O30" t="s">
        <v>194</v>
      </c>
      <c r="P30" t="str">
        <f>VLOOKUP(O30,Sheet3!$A$1:$B$22,2,0)</f>
        <v>Demand Forecasting</v>
      </c>
      <c r="Q30" t="s">
        <v>74</v>
      </c>
      <c r="R30" t="s">
        <v>75</v>
      </c>
      <c r="S30" t="s">
        <v>75</v>
      </c>
      <c r="T30" t="s">
        <v>75</v>
      </c>
      <c r="U30" t="s">
        <v>76</v>
      </c>
      <c r="V30" t="s">
        <v>75</v>
      </c>
      <c r="W30" t="s">
        <v>75</v>
      </c>
      <c r="X30" t="s">
        <v>111</v>
      </c>
      <c r="Y30" t="s">
        <v>111</v>
      </c>
      <c r="Z30" t="s">
        <v>77</v>
      </c>
      <c r="AA30" t="s">
        <v>78</v>
      </c>
      <c r="AB30" t="s">
        <v>74</v>
      </c>
      <c r="AC30" t="s">
        <v>113</v>
      </c>
      <c r="AD30" t="s">
        <v>545</v>
      </c>
      <c r="AE30" t="s">
        <v>79</v>
      </c>
      <c r="AF30" t="s">
        <v>75</v>
      </c>
      <c r="AG30" t="s">
        <v>195</v>
      </c>
      <c r="AH30" t="s">
        <v>76</v>
      </c>
      <c r="AI30" t="s">
        <v>75</v>
      </c>
      <c r="AJ30" t="s">
        <v>196</v>
      </c>
      <c r="AK30" t="s">
        <v>197</v>
      </c>
      <c r="AL30" t="s">
        <v>137</v>
      </c>
      <c r="AM30" t="s">
        <v>116</v>
      </c>
      <c r="AN30">
        <v>236</v>
      </c>
      <c r="AO30">
        <v>78</v>
      </c>
      <c r="AP30">
        <v>79</v>
      </c>
      <c r="AQ30" t="s">
        <v>84</v>
      </c>
      <c r="AR30" t="s">
        <v>84</v>
      </c>
      <c r="AS30" t="s">
        <v>85</v>
      </c>
      <c r="AT30" t="s">
        <v>75</v>
      </c>
      <c r="AU30" t="s">
        <v>76</v>
      </c>
      <c r="AV30">
        <v>28.41</v>
      </c>
      <c r="AW30">
        <v>39.17</v>
      </c>
      <c r="AX30">
        <v>34.47</v>
      </c>
      <c r="AY30">
        <v>28.41</v>
      </c>
      <c r="AZ30">
        <v>39.17</v>
      </c>
      <c r="BA30">
        <v>34.47</v>
      </c>
      <c r="BB30" t="s">
        <v>86</v>
      </c>
      <c r="BC30">
        <v>39.17</v>
      </c>
      <c r="BD30">
        <v>28.41</v>
      </c>
      <c r="BE30">
        <v>0</v>
      </c>
      <c r="BF30">
        <v>13.33</v>
      </c>
      <c r="BG30">
        <v>0</v>
      </c>
      <c r="BH30">
        <v>11.85</v>
      </c>
      <c r="BI30">
        <v>0</v>
      </c>
      <c r="BJ30">
        <v>13.33</v>
      </c>
      <c r="BK30" t="s">
        <v>75</v>
      </c>
      <c r="BL30" t="s">
        <v>198</v>
      </c>
    </row>
    <row r="31" spans="1:64" x14ac:dyDescent="0.55000000000000004">
      <c r="A31" t="s">
        <v>189</v>
      </c>
      <c r="B31">
        <v>27</v>
      </c>
      <c r="C31">
        <v>2</v>
      </c>
      <c r="D31">
        <v>1</v>
      </c>
      <c r="E31">
        <v>1</v>
      </c>
      <c r="F31">
        <v>27.2</v>
      </c>
      <c r="G31" t="s">
        <v>199</v>
      </c>
      <c r="H31" t="s">
        <v>191</v>
      </c>
      <c r="I31" t="s">
        <v>192</v>
      </c>
      <c r="J31">
        <v>2021</v>
      </c>
      <c r="K31" t="s">
        <v>69</v>
      </c>
      <c r="L31" t="s">
        <v>193</v>
      </c>
      <c r="M31" t="s">
        <v>108</v>
      </c>
      <c r="N31" t="s">
        <v>72</v>
      </c>
      <c r="O31" t="s">
        <v>194</v>
      </c>
      <c r="P31" t="str">
        <f>VLOOKUP(O31,Sheet3!$A$1:$B$22,2,0)</f>
        <v>Demand Forecasting</v>
      </c>
      <c r="Q31" t="s">
        <v>74</v>
      </c>
      <c r="R31" t="s">
        <v>75</v>
      </c>
      <c r="S31" t="s">
        <v>75</v>
      </c>
      <c r="T31" t="s">
        <v>75</v>
      </c>
      <c r="U31" t="s">
        <v>76</v>
      </c>
      <c r="V31" t="s">
        <v>75</v>
      </c>
      <c r="W31" t="s">
        <v>75</v>
      </c>
      <c r="X31" t="s">
        <v>111</v>
      </c>
      <c r="Y31" t="s">
        <v>111</v>
      </c>
      <c r="Z31" t="s">
        <v>77</v>
      </c>
      <c r="AA31" t="s">
        <v>78</v>
      </c>
      <c r="AB31" t="s">
        <v>74</v>
      </c>
      <c r="AC31" t="s">
        <v>113</v>
      </c>
      <c r="AD31" t="s">
        <v>545</v>
      </c>
      <c r="AE31" t="s">
        <v>79</v>
      </c>
      <c r="AF31" t="s">
        <v>75</v>
      </c>
      <c r="AG31" t="s">
        <v>200</v>
      </c>
      <c r="AH31" t="s">
        <v>76</v>
      </c>
      <c r="AI31" t="s">
        <v>75</v>
      </c>
      <c r="AJ31" t="s">
        <v>196</v>
      </c>
      <c r="AK31" t="s">
        <v>197</v>
      </c>
      <c r="AL31" t="s">
        <v>137</v>
      </c>
      <c r="AM31" t="s">
        <v>116</v>
      </c>
      <c r="AN31">
        <v>222</v>
      </c>
      <c r="AO31">
        <v>70</v>
      </c>
      <c r="AP31">
        <v>76</v>
      </c>
      <c r="AQ31" t="s">
        <v>84</v>
      </c>
      <c r="AR31" t="s">
        <v>84</v>
      </c>
      <c r="AS31" t="s">
        <v>85</v>
      </c>
      <c r="AT31" t="s">
        <v>75</v>
      </c>
      <c r="AU31" t="s">
        <v>76</v>
      </c>
      <c r="AV31">
        <v>22.75</v>
      </c>
      <c r="AW31">
        <v>28.47</v>
      </c>
      <c r="AX31">
        <v>24.02</v>
      </c>
      <c r="AY31">
        <v>22.75</v>
      </c>
      <c r="AZ31">
        <v>28.47</v>
      </c>
      <c r="BA31">
        <v>24.02</v>
      </c>
      <c r="BB31" t="s">
        <v>86</v>
      </c>
      <c r="BC31">
        <v>28.47</v>
      </c>
      <c r="BD31">
        <v>22.75</v>
      </c>
      <c r="BE31">
        <v>0</v>
      </c>
      <c r="BF31">
        <v>8.18</v>
      </c>
      <c r="BG31">
        <v>0</v>
      </c>
      <c r="BH31">
        <v>7.38</v>
      </c>
      <c r="BI31">
        <v>0</v>
      </c>
      <c r="BJ31">
        <v>8.18</v>
      </c>
      <c r="BK31" t="s">
        <v>75</v>
      </c>
      <c r="BL31" t="s">
        <v>201</v>
      </c>
    </row>
    <row r="32" spans="1:64" x14ac:dyDescent="0.55000000000000004">
      <c r="A32" t="s">
        <v>189</v>
      </c>
      <c r="B32">
        <v>27</v>
      </c>
      <c r="C32">
        <v>3</v>
      </c>
      <c r="D32">
        <v>1</v>
      </c>
      <c r="E32">
        <v>1</v>
      </c>
      <c r="F32">
        <v>27.3</v>
      </c>
      <c r="G32" t="s">
        <v>202</v>
      </c>
      <c r="H32" t="s">
        <v>191</v>
      </c>
      <c r="I32" t="s">
        <v>192</v>
      </c>
      <c r="J32">
        <v>2021</v>
      </c>
      <c r="K32" t="s">
        <v>69</v>
      </c>
      <c r="L32" t="s">
        <v>193</v>
      </c>
      <c r="M32" t="s">
        <v>108</v>
      </c>
      <c r="N32" t="s">
        <v>72</v>
      </c>
      <c r="O32" t="s">
        <v>194</v>
      </c>
      <c r="P32" t="str">
        <f>VLOOKUP(O32,Sheet3!$A$1:$B$22,2,0)</f>
        <v>Demand Forecasting</v>
      </c>
      <c r="Q32" t="s">
        <v>74</v>
      </c>
      <c r="R32" t="s">
        <v>75</v>
      </c>
      <c r="S32" t="s">
        <v>75</v>
      </c>
      <c r="T32" t="s">
        <v>75</v>
      </c>
      <c r="U32" t="s">
        <v>76</v>
      </c>
      <c r="V32" t="s">
        <v>75</v>
      </c>
      <c r="W32" t="s">
        <v>75</v>
      </c>
      <c r="X32" t="s">
        <v>111</v>
      </c>
      <c r="Y32" t="s">
        <v>111</v>
      </c>
      <c r="Z32" t="s">
        <v>77</v>
      </c>
      <c r="AA32" t="s">
        <v>78</v>
      </c>
      <c r="AB32" t="s">
        <v>74</v>
      </c>
      <c r="AC32" t="s">
        <v>113</v>
      </c>
      <c r="AD32" t="s">
        <v>545</v>
      </c>
      <c r="AE32" t="s">
        <v>79</v>
      </c>
      <c r="AF32" t="s">
        <v>75</v>
      </c>
      <c r="AG32" t="s">
        <v>203</v>
      </c>
      <c r="AH32" t="s">
        <v>76</v>
      </c>
      <c r="AI32" t="s">
        <v>75</v>
      </c>
      <c r="AJ32" t="s">
        <v>196</v>
      </c>
      <c r="AK32" t="s">
        <v>197</v>
      </c>
      <c r="AL32" t="s">
        <v>137</v>
      </c>
      <c r="AM32" t="s">
        <v>116</v>
      </c>
      <c r="AN32">
        <v>178</v>
      </c>
      <c r="AO32">
        <v>60</v>
      </c>
      <c r="AP32">
        <v>59</v>
      </c>
      <c r="AQ32" t="s">
        <v>84</v>
      </c>
      <c r="AR32" t="s">
        <v>84</v>
      </c>
      <c r="AS32" t="s">
        <v>85</v>
      </c>
      <c r="AT32" t="s">
        <v>75</v>
      </c>
      <c r="AU32" t="s">
        <v>76</v>
      </c>
      <c r="AV32">
        <v>4.17</v>
      </c>
      <c r="AW32">
        <v>7.03</v>
      </c>
      <c r="AX32">
        <v>5.95</v>
      </c>
      <c r="AY32">
        <v>4.17</v>
      </c>
      <c r="AZ32">
        <v>7.03</v>
      </c>
      <c r="BA32">
        <v>5.95</v>
      </c>
      <c r="BB32" t="s">
        <v>86</v>
      </c>
      <c r="BC32">
        <v>7.03</v>
      </c>
      <c r="BD32">
        <v>4.17</v>
      </c>
      <c r="BE32">
        <v>0</v>
      </c>
      <c r="BF32">
        <v>2.63</v>
      </c>
      <c r="BG32">
        <v>0</v>
      </c>
      <c r="BH32">
        <v>2.75</v>
      </c>
      <c r="BI32">
        <v>0</v>
      </c>
      <c r="BJ32">
        <v>2.63</v>
      </c>
      <c r="BK32" t="s">
        <v>75</v>
      </c>
      <c r="BL32" t="s">
        <v>204</v>
      </c>
    </row>
    <row r="33" spans="1:65" x14ac:dyDescent="0.55000000000000004">
      <c r="A33" t="s">
        <v>205</v>
      </c>
      <c r="B33">
        <v>68</v>
      </c>
      <c r="C33">
        <v>1</v>
      </c>
      <c r="D33">
        <v>2</v>
      </c>
      <c r="E33">
        <v>1</v>
      </c>
      <c r="F33">
        <v>68.099999999999994</v>
      </c>
      <c r="G33" t="s">
        <v>206</v>
      </c>
      <c r="H33" t="s">
        <v>207</v>
      </c>
      <c r="I33" t="s">
        <v>208</v>
      </c>
      <c r="J33">
        <v>2022</v>
      </c>
      <c r="K33" t="s">
        <v>69</v>
      </c>
      <c r="L33" s="1" t="s">
        <v>539</v>
      </c>
      <c r="M33" t="s">
        <v>108</v>
      </c>
      <c r="N33" t="s">
        <v>72</v>
      </c>
      <c r="O33" t="s">
        <v>73</v>
      </c>
      <c r="P33" t="str">
        <f>VLOOKUP(O33,Sheet3!$A$1:$B$22,2,0)</f>
        <v>Demand Forecasting</v>
      </c>
      <c r="Q33" t="s">
        <v>162</v>
      </c>
      <c r="R33" t="s">
        <v>76</v>
      </c>
      <c r="S33" t="s">
        <v>75</v>
      </c>
      <c r="T33" t="s">
        <v>75</v>
      </c>
      <c r="U33" t="s">
        <v>76</v>
      </c>
      <c r="V33" t="s">
        <v>75</v>
      </c>
      <c r="W33" t="s">
        <v>75</v>
      </c>
      <c r="X33" t="s">
        <v>74</v>
      </c>
      <c r="Y33" t="s">
        <v>74</v>
      </c>
      <c r="Z33" t="s">
        <v>77</v>
      </c>
      <c r="AA33" t="s">
        <v>78</v>
      </c>
      <c r="AB33" t="s">
        <v>161</v>
      </c>
      <c r="AC33" t="s">
        <v>179</v>
      </c>
      <c r="AD33" t="s">
        <v>545</v>
      </c>
      <c r="AE33" t="s">
        <v>79</v>
      </c>
      <c r="AF33" t="s">
        <v>75</v>
      </c>
      <c r="AG33" t="s">
        <v>210</v>
      </c>
      <c r="AH33" t="s">
        <v>75</v>
      </c>
      <c r="AI33" t="s">
        <v>76</v>
      </c>
      <c r="AK33" t="s">
        <v>181</v>
      </c>
      <c r="AL33" t="s">
        <v>82</v>
      </c>
      <c r="AM33" t="s">
        <v>83</v>
      </c>
      <c r="AN33">
        <v>154</v>
      </c>
      <c r="AO33">
        <v>48</v>
      </c>
      <c r="AP33">
        <v>48</v>
      </c>
      <c r="AQ33" t="s">
        <v>84</v>
      </c>
      <c r="AR33" t="s">
        <v>84</v>
      </c>
      <c r="AS33" t="s">
        <v>164</v>
      </c>
      <c r="AT33" t="s">
        <v>75</v>
      </c>
      <c r="AU33" t="s">
        <v>76</v>
      </c>
      <c r="AV33">
        <v>200510</v>
      </c>
      <c r="AW33">
        <v>163080</v>
      </c>
      <c r="AX33">
        <v>148009</v>
      </c>
      <c r="AY33">
        <v>-200510</v>
      </c>
      <c r="AZ33">
        <v>-163080</v>
      </c>
      <c r="BA33">
        <v>-148009</v>
      </c>
      <c r="BB33" t="s">
        <v>86</v>
      </c>
      <c r="BC33">
        <v>-163080</v>
      </c>
      <c r="BD33">
        <v>-200510</v>
      </c>
      <c r="BE33">
        <v>1</v>
      </c>
      <c r="BF33">
        <v>45348</v>
      </c>
      <c r="BG33">
        <v>0</v>
      </c>
      <c r="BH33">
        <v>22079</v>
      </c>
      <c r="BI33">
        <v>0</v>
      </c>
      <c r="BJ33">
        <v>45348</v>
      </c>
      <c r="BK33" t="s">
        <v>75</v>
      </c>
      <c r="BL33" t="s">
        <v>211</v>
      </c>
    </row>
    <row r="34" spans="1:65" x14ac:dyDescent="0.55000000000000004">
      <c r="A34" t="s">
        <v>212</v>
      </c>
      <c r="B34">
        <v>69</v>
      </c>
      <c r="C34">
        <v>1</v>
      </c>
      <c r="D34">
        <v>1</v>
      </c>
      <c r="E34">
        <v>1</v>
      </c>
      <c r="F34">
        <v>69.099999999999994</v>
      </c>
      <c r="G34" t="s">
        <v>213</v>
      </c>
      <c r="H34" t="s">
        <v>214</v>
      </c>
      <c r="I34" t="s">
        <v>215</v>
      </c>
      <c r="J34">
        <v>2023</v>
      </c>
      <c r="K34" t="s">
        <v>69</v>
      </c>
      <c r="L34" t="s">
        <v>216</v>
      </c>
      <c r="M34" t="s">
        <v>217</v>
      </c>
      <c r="N34" t="s">
        <v>100</v>
      </c>
      <c r="O34" t="s">
        <v>73</v>
      </c>
      <c r="P34" t="str">
        <f>VLOOKUP(O34,Sheet3!$A$1:$B$22,2,0)</f>
        <v>Demand Forecasting</v>
      </c>
      <c r="Q34" t="s">
        <v>162</v>
      </c>
      <c r="R34" t="s">
        <v>76</v>
      </c>
      <c r="S34" t="s">
        <v>75</v>
      </c>
      <c r="T34" t="s">
        <v>75</v>
      </c>
      <c r="U34" t="s">
        <v>76</v>
      </c>
      <c r="V34" t="s">
        <v>75</v>
      </c>
      <c r="W34" t="s">
        <v>75</v>
      </c>
      <c r="X34" t="s">
        <v>135</v>
      </c>
      <c r="Y34" t="s">
        <v>135</v>
      </c>
      <c r="Z34" t="s">
        <v>77</v>
      </c>
      <c r="AA34" t="s">
        <v>78</v>
      </c>
      <c r="AB34" t="s">
        <v>161</v>
      </c>
      <c r="AC34" t="s">
        <v>135</v>
      </c>
      <c r="AD34" t="s">
        <v>545</v>
      </c>
      <c r="AE34" t="s">
        <v>79</v>
      </c>
      <c r="AF34" t="s">
        <v>75</v>
      </c>
      <c r="AG34" t="s">
        <v>218</v>
      </c>
      <c r="AH34" t="s">
        <v>76</v>
      </c>
      <c r="AI34" t="s">
        <v>75</v>
      </c>
      <c r="AJ34" t="s">
        <v>91</v>
      </c>
      <c r="AK34" t="s">
        <v>115</v>
      </c>
      <c r="AL34" t="s">
        <v>115</v>
      </c>
      <c r="AM34" t="s">
        <v>116</v>
      </c>
      <c r="AN34">
        <v>13</v>
      </c>
      <c r="AO34">
        <v>13</v>
      </c>
      <c r="AP34">
        <v>13</v>
      </c>
      <c r="AQ34" t="s">
        <v>219</v>
      </c>
      <c r="AR34" t="s">
        <v>219</v>
      </c>
      <c r="AS34" t="s">
        <v>220</v>
      </c>
      <c r="AT34" t="s">
        <v>75</v>
      </c>
      <c r="AU34" t="s">
        <v>75</v>
      </c>
      <c r="AV34">
        <v>0.61099999999999999</v>
      </c>
      <c r="AW34">
        <v>0.625</v>
      </c>
      <c r="AX34">
        <v>0.60599999999999998</v>
      </c>
      <c r="AY34">
        <v>0.61099999999999999</v>
      </c>
      <c r="AZ34">
        <v>0.625</v>
      </c>
      <c r="BA34">
        <v>0.60599999999999998</v>
      </c>
      <c r="BB34" t="s">
        <v>86</v>
      </c>
      <c r="BC34">
        <v>0.625</v>
      </c>
      <c r="BD34">
        <v>0.61099999999999999</v>
      </c>
      <c r="BE34">
        <v>0</v>
      </c>
      <c r="BF34">
        <v>0.1046</v>
      </c>
      <c r="BG34">
        <v>0</v>
      </c>
      <c r="BH34">
        <v>0.15140000000000001</v>
      </c>
      <c r="BI34">
        <v>0</v>
      </c>
      <c r="BJ34">
        <v>0.1046</v>
      </c>
      <c r="BK34" t="s">
        <v>75</v>
      </c>
      <c r="BL34" t="s">
        <v>221</v>
      </c>
    </row>
    <row r="35" spans="1:65" x14ac:dyDescent="0.55000000000000004">
      <c r="A35" t="s">
        <v>212</v>
      </c>
      <c r="B35">
        <v>69</v>
      </c>
      <c r="C35">
        <v>1</v>
      </c>
      <c r="D35">
        <v>2</v>
      </c>
      <c r="E35">
        <v>1</v>
      </c>
      <c r="F35">
        <v>69.099999999999994</v>
      </c>
      <c r="G35" t="s">
        <v>222</v>
      </c>
      <c r="H35" t="s">
        <v>214</v>
      </c>
      <c r="I35" t="s">
        <v>215</v>
      </c>
      <c r="J35">
        <v>2023</v>
      </c>
      <c r="K35" t="s">
        <v>69</v>
      </c>
      <c r="L35" t="s">
        <v>216</v>
      </c>
      <c r="M35" t="s">
        <v>217</v>
      </c>
      <c r="N35" t="s">
        <v>100</v>
      </c>
      <c r="O35" t="s">
        <v>73</v>
      </c>
      <c r="P35" t="str">
        <f>VLOOKUP(O35,Sheet3!$A$1:$B$22,2,0)</f>
        <v>Demand Forecasting</v>
      </c>
      <c r="Q35" t="s">
        <v>162</v>
      </c>
      <c r="R35" t="s">
        <v>76</v>
      </c>
      <c r="S35" t="s">
        <v>75</v>
      </c>
      <c r="T35" t="s">
        <v>75</v>
      </c>
      <c r="U35" t="s">
        <v>76</v>
      </c>
      <c r="V35" t="s">
        <v>75</v>
      </c>
      <c r="W35" t="s">
        <v>75</v>
      </c>
      <c r="X35" t="s">
        <v>135</v>
      </c>
      <c r="Y35" t="s">
        <v>135</v>
      </c>
      <c r="Z35" t="s">
        <v>77</v>
      </c>
      <c r="AA35" t="s">
        <v>78</v>
      </c>
      <c r="AB35" t="s">
        <v>161</v>
      </c>
      <c r="AC35" t="s">
        <v>135</v>
      </c>
      <c r="AD35" t="s">
        <v>545</v>
      </c>
      <c r="AE35" t="s">
        <v>79</v>
      </c>
      <c r="AF35" t="s">
        <v>75</v>
      </c>
      <c r="AG35" t="s">
        <v>223</v>
      </c>
      <c r="AH35" t="s">
        <v>76</v>
      </c>
      <c r="AI35" t="s">
        <v>75</v>
      </c>
      <c r="AJ35" t="s">
        <v>120</v>
      </c>
      <c r="AK35" t="s">
        <v>115</v>
      </c>
      <c r="AL35" t="s">
        <v>115</v>
      </c>
      <c r="AM35" t="s">
        <v>116</v>
      </c>
      <c r="AN35">
        <v>13</v>
      </c>
      <c r="AO35">
        <v>13</v>
      </c>
      <c r="AP35">
        <v>13</v>
      </c>
      <c r="AQ35" t="s">
        <v>219</v>
      </c>
      <c r="AR35" t="s">
        <v>219</v>
      </c>
      <c r="AS35" t="s">
        <v>220</v>
      </c>
      <c r="AT35" t="s">
        <v>75</v>
      </c>
      <c r="AU35" t="s">
        <v>75</v>
      </c>
      <c r="AV35">
        <v>0.61099999999999999</v>
      </c>
      <c r="AW35">
        <v>0.625</v>
      </c>
      <c r="AX35">
        <v>0.71099999999999997</v>
      </c>
      <c r="AY35">
        <v>0.61099999999999999</v>
      </c>
      <c r="AZ35">
        <v>0.625</v>
      </c>
      <c r="BA35">
        <v>0.71099999999999997</v>
      </c>
      <c r="BB35" t="s">
        <v>86</v>
      </c>
      <c r="BC35">
        <v>0.625</v>
      </c>
      <c r="BD35">
        <v>0.61099999999999999</v>
      </c>
      <c r="BE35">
        <v>1</v>
      </c>
      <c r="BF35">
        <v>0.1046</v>
      </c>
      <c r="BG35">
        <v>0</v>
      </c>
      <c r="BH35">
        <v>0.1046</v>
      </c>
      <c r="BI35">
        <v>0</v>
      </c>
      <c r="BJ35">
        <v>0.1046</v>
      </c>
      <c r="BK35" t="s">
        <v>75</v>
      </c>
      <c r="BL35" t="s">
        <v>224</v>
      </c>
    </row>
    <row r="36" spans="1:65" x14ac:dyDescent="0.55000000000000004">
      <c r="A36" t="s">
        <v>212</v>
      </c>
      <c r="B36">
        <v>69</v>
      </c>
      <c r="C36">
        <v>2</v>
      </c>
      <c r="D36">
        <v>1</v>
      </c>
      <c r="E36">
        <v>1</v>
      </c>
      <c r="F36">
        <v>69.2</v>
      </c>
      <c r="G36" t="s">
        <v>225</v>
      </c>
      <c r="H36" t="s">
        <v>214</v>
      </c>
      <c r="I36" t="s">
        <v>215</v>
      </c>
      <c r="J36">
        <v>2023</v>
      </c>
      <c r="K36" t="s">
        <v>69</v>
      </c>
      <c r="L36" t="s">
        <v>216</v>
      </c>
      <c r="M36" t="s">
        <v>217</v>
      </c>
      <c r="N36" t="s">
        <v>100</v>
      </c>
      <c r="O36" t="s">
        <v>73</v>
      </c>
      <c r="P36" t="str">
        <f>VLOOKUP(O36,Sheet3!$A$1:$B$22,2,0)</f>
        <v>Demand Forecasting</v>
      </c>
      <c r="Q36" t="s">
        <v>162</v>
      </c>
      <c r="R36" t="s">
        <v>76</v>
      </c>
      <c r="S36" t="s">
        <v>75</v>
      </c>
      <c r="T36" t="s">
        <v>75</v>
      </c>
      <c r="U36" t="s">
        <v>76</v>
      </c>
      <c r="V36" t="s">
        <v>75</v>
      </c>
      <c r="W36" t="s">
        <v>75</v>
      </c>
      <c r="X36" t="s">
        <v>111</v>
      </c>
      <c r="Y36" t="s">
        <v>111</v>
      </c>
      <c r="Z36" t="s">
        <v>77</v>
      </c>
      <c r="AA36" t="s">
        <v>78</v>
      </c>
      <c r="AB36" t="s">
        <v>161</v>
      </c>
      <c r="AC36" t="s">
        <v>113</v>
      </c>
      <c r="AD36" t="s">
        <v>545</v>
      </c>
      <c r="AE36" t="s">
        <v>79</v>
      </c>
      <c r="AF36" t="s">
        <v>75</v>
      </c>
      <c r="AG36" t="s">
        <v>218</v>
      </c>
      <c r="AH36" t="s">
        <v>76</v>
      </c>
      <c r="AI36" t="s">
        <v>75</v>
      </c>
      <c r="AJ36" t="s">
        <v>91</v>
      </c>
      <c r="AK36" t="s">
        <v>115</v>
      </c>
      <c r="AL36" t="s">
        <v>115</v>
      </c>
      <c r="AM36" t="s">
        <v>116</v>
      </c>
      <c r="AN36">
        <v>13</v>
      </c>
      <c r="AO36">
        <v>13</v>
      </c>
      <c r="AP36">
        <v>13</v>
      </c>
      <c r="AQ36" t="s">
        <v>219</v>
      </c>
      <c r="AR36" t="s">
        <v>219</v>
      </c>
      <c r="AS36" t="s">
        <v>220</v>
      </c>
      <c r="AT36" t="s">
        <v>75</v>
      </c>
      <c r="AU36" t="s">
        <v>75</v>
      </c>
      <c r="AV36">
        <v>0.6</v>
      </c>
      <c r="AW36">
        <v>0.625</v>
      </c>
      <c r="AX36">
        <v>0.64400000000000002</v>
      </c>
      <c r="AY36">
        <v>0.6</v>
      </c>
      <c r="AZ36">
        <v>0.625</v>
      </c>
      <c r="BA36">
        <v>0.64400000000000002</v>
      </c>
      <c r="BB36" t="s">
        <v>86</v>
      </c>
      <c r="BC36">
        <v>0.625</v>
      </c>
      <c r="BD36">
        <v>0.6</v>
      </c>
      <c r="BE36">
        <v>1</v>
      </c>
      <c r="BF36">
        <v>0.15859999999999999</v>
      </c>
      <c r="BG36">
        <v>0</v>
      </c>
      <c r="BH36">
        <v>0.155</v>
      </c>
      <c r="BI36">
        <v>0</v>
      </c>
      <c r="BJ36">
        <v>0.15859999999999999</v>
      </c>
      <c r="BK36" t="s">
        <v>75</v>
      </c>
      <c r="BL36" t="s">
        <v>226</v>
      </c>
    </row>
    <row r="37" spans="1:65" x14ac:dyDescent="0.55000000000000004">
      <c r="A37" t="s">
        <v>212</v>
      </c>
      <c r="B37">
        <v>69</v>
      </c>
      <c r="C37">
        <v>2</v>
      </c>
      <c r="D37">
        <v>2</v>
      </c>
      <c r="E37">
        <v>1</v>
      </c>
      <c r="F37">
        <v>69.2</v>
      </c>
      <c r="G37" t="s">
        <v>227</v>
      </c>
      <c r="H37" t="s">
        <v>214</v>
      </c>
      <c r="I37" t="s">
        <v>215</v>
      </c>
      <c r="J37">
        <v>2023</v>
      </c>
      <c r="K37" t="s">
        <v>69</v>
      </c>
      <c r="L37" t="s">
        <v>216</v>
      </c>
      <c r="M37" t="s">
        <v>217</v>
      </c>
      <c r="N37" t="s">
        <v>100</v>
      </c>
      <c r="O37" t="s">
        <v>143</v>
      </c>
      <c r="P37" s="9" t="s">
        <v>548</v>
      </c>
      <c r="Q37" t="s">
        <v>162</v>
      </c>
      <c r="R37" t="s">
        <v>76</v>
      </c>
      <c r="S37" t="s">
        <v>75</v>
      </c>
      <c r="T37" t="s">
        <v>75</v>
      </c>
      <c r="U37" t="s">
        <v>76</v>
      </c>
      <c r="V37" t="s">
        <v>75</v>
      </c>
      <c r="W37" t="s">
        <v>75</v>
      </c>
      <c r="X37" t="s">
        <v>111</v>
      </c>
      <c r="Y37" t="s">
        <v>111</v>
      </c>
      <c r="Z37" t="s">
        <v>77</v>
      </c>
      <c r="AA37" t="s">
        <v>78</v>
      </c>
      <c r="AB37" t="s">
        <v>161</v>
      </c>
      <c r="AC37" t="s">
        <v>113</v>
      </c>
      <c r="AD37" t="s">
        <v>545</v>
      </c>
      <c r="AE37" t="s">
        <v>79</v>
      </c>
      <c r="AF37" t="s">
        <v>75</v>
      </c>
      <c r="AG37" t="s">
        <v>223</v>
      </c>
      <c r="AH37" t="s">
        <v>76</v>
      </c>
      <c r="AI37" t="s">
        <v>75</v>
      </c>
      <c r="AJ37" t="s">
        <v>120</v>
      </c>
      <c r="AK37" t="s">
        <v>115</v>
      </c>
      <c r="AL37" t="s">
        <v>115</v>
      </c>
      <c r="AM37" t="s">
        <v>116</v>
      </c>
      <c r="AN37">
        <v>13</v>
      </c>
      <c r="AO37">
        <v>13</v>
      </c>
      <c r="AP37">
        <v>13</v>
      </c>
      <c r="AQ37" t="s">
        <v>219</v>
      </c>
      <c r="AR37" t="s">
        <v>219</v>
      </c>
      <c r="AS37" t="s">
        <v>220</v>
      </c>
      <c r="AT37" t="s">
        <v>75</v>
      </c>
      <c r="AU37" t="s">
        <v>75</v>
      </c>
      <c r="AV37">
        <v>0.6</v>
      </c>
      <c r="AW37">
        <v>0.625</v>
      </c>
      <c r="AX37">
        <v>0.71199999999999997</v>
      </c>
      <c r="AY37">
        <v>0.6</v>
      </c>
      <c r="AZ37">
        <v>0.625</v>
      </c>
      <c r="BA37">
        <v>0.71199999999999997</v>
      </c>
      <c r="BB37" t="s">
        <v>86</v>
      </c>
      <c r="BC37">
        <v>0.625</v>
      </c>
      <c r="BD37">
        <v>0.6</v>
      </c>
      <c r="BE37">
        <v>1</v>
      </c>
      <c r="BF37">
        <v>0.15859999999999999</v>
      </c>
      <c r="BG37">
        <v>0</v>
      </c>
      <c r="BH37">
        <v>0.16589999999999999</v>
      </c>
      <c r="BI37">
        <v>0</v>
      </c>
      <c r="BJ37">
        <v>0.15859999999999999</v>
      </c>
      <c r="BK37" t="s">
        <v>75</v>
      </c>
      <c r="BL37" t="s">
        <v>228</v>
      </c>
    </row>
    <row r="38" spans="1:65" x14ac:dyDescent="0.55000000000000004">
      <c r="A38" t="s">
        <v>229</v>
      </c>
      <c r="B38">
        <v>72</v>
      </c>
      <c r="C38">
        <v>1</v>
      </c>
      <c r="D38">
        <v>1</v>
      </c>
      <c r="E38">
        <v>1</v>
      </c>
      <c r="F38">
        <v>72.099999999999994</v>
      </c>
      <c r="G38" t="s">
        <v>230</v>
      </c>
      <c r="H38" t="s">
        <v>231</v>
      </c>
      <c r="I38" t="s">
        <v>232</v>
      </c>
      <c r="J38">
        <v>2022</v>
      </c>
      <c r="K38" t="s">
        <v>69</v>
      </c>
      <c r="L38" t="s">
        <v>233</v>
      </c>
      <c r="M38" t="s">
        <v>108</v>
      </c>
      <c r="N38" t="s">
        <v>72</v>
      </c>
      <c r="O38" t="s">
        <v>234</v>
      </c>
      <c r="P38" t="str">
        <f>VLOOKUP(O38,Sheet3!$A$1:$B$22,2,0)</f>
        <v>Demand Forecasting</v>
      </c>
      <c r="Q38" t="s">
        <v>74</v>
      </c>
      <c r="R38" t="s">
        <v>75</v>
      </c>
      <c r="S38" t="s">
        <v>75</v>
      </c>
      <c r="T38" t="s">
        <v>75</v>
      </c>
      <c r="U38" t="s">
        <v>76</v>
      </c>
      <c r="V38" t="s">
        <v>75</v>
      </c>
      <c r="W38" t="s">
        <v>75</v>
      </c>
      <c r="X38" t="s">
        <v>135</v>
      </c>
      <c r="Y38" t="s">
        <v>135</v>
      </c>
      <c r="Z38" t="s">
        <v>77</v>
      </c>
      <c r="AA38" t="s">
        <v>235</v>
      </c>
      <c r="AB38" t="s">
        <v>74</v>
      </c>
      <c r="AC38" t="s">
        <v>135</v>
      </c>
      <c r="AD38" t="s">
        <v>546</v>
      </c>
      <c r="AE38" t="s">
        <v>79</v>
      </c>
      <c r="AF38" t="s">
        <v>75</v>
      </c>
      <c r="AG38" t="s">
        <v>236</v>
      </c>
      <c r="AH38" t="s">
        <v>75</v>
      </c>
      <c r="AI38" t="s">
        <v>75</v>
      </c>
      <c r="AK38" t="s">
        <v>115</v>
      </c>
      <c r="AL38" t="s">
        <v>115</v>
      </c>
      <c r="AM38" t="s">
        <v>116</v>
      </c>
      <c r="AN38">
        <v>245</v>
      </c>
      <c r="AO38">
        <v>81</v>
      </c>
      <c r="AP38">
        <v>82</v>
      </c>
      <c r="AQ38" t="s">
        <v>84</v>
      </c>
      <c r="AR38" t="s">
        <v>84</v>
      </c>
      <c r="AS38" t="s">
        <v>164</v>
      </c>
      <c r="AT38" t="s">
        <v>75</v>
      </c>
      <c r="AU38" t="s">
        <v>76</v>
      </c>
      <c r="AV38">
        <v>0.52</v>
      </c>
      <c r="AW38">
        <v>0.6</v>
      </c>
      <c r="AX38">
        <v>0.56999999999999995</v>
      </c>
      <c r="AY38">
        <v>0.52</v>
      </c>
      <c r="AZ38">
        <v>0.6</v>
      </c>
      <c r="BA38">
        <v>0.56999999999999995</v>
      </c>
      <c r="BB38" t="s">
        <v>86</v>
      </c>
      <c r="BC38">
        <v>0.6</v>
      </c>
      <c r="BD38">
        <v>0.52</v>
      </c>
      <c r="BE38">
        <v>0</v>
      </c>
      <c r="BF38">
        <v>0.09</v>
      </c>
      <c r="BG38">
        <v>0</v>
      </c>
      <c r="BH38">
        <v>0.1</v>
      </c>
      <c r="BI38">
        <v>0</v>
      </c>
      <c r="BJ38">
        <v>0.09</v>
      </c>
      <c r="BK38" t="s">
        <v>75</v>
      </c>
    </row>
    <row r="39" spans="1:65" x14ac:dyDescent="0.55000000000000004">
      <c r="A39" t="s">
        <v>229</v>
      </c>
      <c r="B39">
        <v>72</v>
      </c>
      <c r="C39">
        <v>1</v>
      </c>
      <c r="D39">
        <v>1</v>
      </c>
      <c r="E39">
        <v>2</v>
      </c>
      <c r="F39">
        <v>72.099999999999994</v>
      </c>
      <c r="G39" t="s">
        <v>237</v>
      </c>
      <c r="H39" t="s">
        <v>231</v>
      </c>
      <c r="I39" t="s">
        <v>232</v>
      </c>
      <c r="J39">
        <v>2022</v>
      </c>
      <c r="K39" t="s">
        <v>69</v>
      </c>
      <c r="L39" t="s">
        <v>233</v>
      </c>
      <c r="M39" t="s">
        <v>108</v>
      </c>
      <c r="N39" t="s">
        <v>72</v>
      </c>
      <c r="O39" t="s">
        <v>234</v>
      </c>
      <c r="P39" t="str">
        <f>VLOOKUP(O39,Sheet3!$A$1:$B$22,2,0)</f>
        <v>Demand Forecasting</v>
      </c>
      <c r="Q39" t="s">
        <v>74</v>
      </c>
      <c r="R39" t="s">
        <v>75</v>
      </c>
      <c r="S39" t="s">
        <v>75</v>
      </c>
      <c r="T39" t="s">
        <v>75</v>
      </c>
      <c r="U39" t="s">
        <v>76</v>
      </c>
      <c r="V39" t="s">
        <v>75</v>
      </c>
      <c r="W39" t="s">
        <v>75</v>
      </c>
      <c r="X39" t="s">
        <v>135</v>
      </c>
      <c r="Y39" t="s">
        <v>135</v>
      </c>
      <c r="Z39" t="s">
        <v>77</v>
      </c>
      <c r="AA39" t="s">
        <v>235</v>
      </c>
      <c r="AB39" t="s">
        <v>74</v>
      </c>
      <c r="AC39" t="s">
        <v>135</v>
      </c>
      <c r="AD39" t="s">
        <v>546</v>
      </c>
      <c r="AE39" t="s">
        <v>79</v>
      </c>
      <c r="AF39" t="s">
        <v>75</v>
      </c>
      <c r="AG39" t="s">
        <v>236</v>
      </c>
      <c r="AH39" t="s">
        <v>75</v>
      </c>
      <c r="AI39" t="s">
        <v>75</v>
      </c>
      <c r="AK39" t="s">
        <v>238</v>
      </c>
      <c r="AL39" t="s">
        <v>239</v>
      </c>
      <c r="AM39" t="s">
        <v>116</v>
      </c>
      <c r="AN39">
        <v>245</v>
      </c>
      <c r="AO39">
        <v>81</v>
      </c>
      <c r="AP39">
        <v>82</v>
      </c>
      <c r="AQ39" t="s">
        <v>84</v>
      </c>
      <c r="AR39" t="s">
        <v>84</v>
      </c>
      <c r="AS39" t="s">
        <v>164</v>
      </c>
      <c r="AT39" t="s">
        <v>75</v>
      </c>
      <c r="AU39" t="s">
        <v>76</v>
      </c>
      <c r="AV39">
        <v>-0.08</v>
      </c>
      <c r="AW39">
        <v>0.76</v>
      </c>
      <c r="AX39">
        <v>0.22</v>
      </c>
      <c r="AY39">
        <v>-0.08</v>
      </c>
      <c r="AZ39">
        <v>0.76</v>
      </c>
      <c r="BA39">
        <v>0.22</v>
      </c>
      <c r="BB39" t="s">
        <v>86</v>
      </c>
      <c r="BC39">
        <v>0.76</v>
      </c>
      <c r="BD39">
        <v>-0.08</v>
      </c>
      <c r="BE39">
        <v>0</v>
      </c>
      <c r="BF39">
        <v>0.5</v>
      </c>
      <c r="BG39">
        <v>0</v>
      </c>
      <c r="BH39">
        <v>0.59</v>
      </c>
      <c r="BI39">
        <v>0</v>
      </c>
      <c r="BJ39">
        <v>0.5</v>
      </c>
      <c r="BK39" t="s">
        <v>75</v>
      </c>
    </row>
    <row r="40" spans="1:65" x14ac:dyDescent="0.55000000000000004">
      <c r="A40" t="s">
        <v>229</v>
      </c>
      <c r="B40">
        <v>72</v>
      </c>
      <c r="C40">
        <v>1</v>
      </c>
      <c r="D40">
        <v>1</v>
      </c>
      <c r="E40">
        <v>3</v>
      </c>
      <c r="F40">
        <v>72.099999999999994</v>
      </c>
      <c r="G40" t="s">
        <v>240</v>
      </c>
      <c r="H40" t="s">
        <v>231</v>
      </c>
      <c r="I40" t="s">
        <v>232</v>
      </c>
      <c r="J40">
        <v>2022</v>
      </c>
      <c r="K40" t="s">
        <v>69</v>
      </c>
      <c r="L40" t="s">
        <v>233</v>
      </c>
      <c r="M40" t="s">
        <v>108</v>
      </c>
      <c r="N40" t="s">
        <v>72</v>
      </c>
      <c r="O40" t="s">
        <v>234</v>
      </c>
      <c r="P40" t="str">
        <f>VLOOKUP(O40,Sheet3!$A$1:$B$22,2,0)</f>
        <v>Demand Forecasting</v>
      </c>
      <c r="Q40" t="s">
        <v>74</v>
      </c>
      <c r="R40" t="s">
        <v>75</v>
      </c>
      <c r="S40" t="s">
        <v>75</v>
      </c>
      <c r="T40" t="s">
        <v>75</v>
      </c>
      <c r="U40" t="s">
        <v>76</v>
      </c>
      <c r="V40" t="s">
        <v>75</v>
      </c>
      <c r="W40" t="s">
        <v>75</v>
      </c>
      <c r="X40" t="s">
        <v>135</v>
      </c>
      <c r="Y40" t="s">
        <v>135</v>
      </c>
      <c r="Z40" t="s">
        <v>77</v>
      </c>
      <c r="AA40" t="s">
        <v>235</v>
      </c>
      <c r="AB40" t="s">
        <v>74</v>
      </c>
      <c r="AC40" t="s">
        <v>135</v>
      </c>
      <c r="AD40" t="s">
        <v>546</v>
      </c>
      <c r="AE40" t="s">
        <v>79</v>
      </c>
      <c r="AF40" t="s">
        <v>75</v>
      </c>
      <c r="AG40" t="s">
        <v>236</v>
      </c>
      <c r="AH40" t="s">
        <v>75</v>
      </c>
      <c r="AI40" t="s">
        <v>75</v>
      </c>
      <c r="AK40" t="s">
        <v>241</v>
      </c>
      <c r="AL40" t="s">
        <v>239</v>
      </c>
      <c r="AM40" t="s">
        <v>83</v>
      </c>
      <c r="AN40">
        <v>245</v>
      </c>
      <c r="AO40">
        <v>81</v>
      </c>
      <c r="AP40">
        <v>82</v>
      </c>
      <c r="AQ40" t="s">
        <v>84</v>
      </c>
      <c r="AR40" t="s">
        <v>84</v>
      </c>
      <c r="AS40" t="s">
        <v>164</v>
      </c>
      <c r="AT40" t="s">
        <v>75</v>
      </c>
      <c r="AU40" t="s">
        <v>76</v>
      </c>
      <c r="AV40">
        <v>0.33</v>
      </c>
      <c r="AW40">
        <v>0.9</v>
      </c>
      <c r="AX40">
        <v>0.41</v>
      </c>
      <c r="AY40">
        <v>0.33</v>
      </c>
      <c r="AZ40">
        <v>0.9</v>
      </c>
      <c r="BA40">
        <v>0.41</v>
      </c>
      <c r="BB40" t="s">
        <v>86</v>
      </c>
      <c r="BC40">
        <v>0.9</v>
      </c>
      <c r="BD40">
        <v>0.33</v>
      </c>
      <c r="BE40">
        <v>0</v>
      </c>
      <c r="BF40">
        <v>0.44</v>
      </c>
      <c r="BG40">
        <v>0</v>
      </c>
      <c r="BH40">
        <v>0.49</v>
      </c>
      <c r="BI40">
        <v>0</v>
      </c>
      <c r="BJ40">
        <v>0.44</v>
      </c>
      <c r="BK40" t="s">
        <v>75</v>
      </c>
    </row>
    <row r="41" spans="1:65" x14ac:dyDescent="0.55000000000000004">
      <c r="A41" t="s">
        <v>229</v>
      </c>
      <c r="B41">
        <v>72</v>
      </c>
      <c r="C41">
        <v>1</v>
      </c>
      <c r="D41">
        <v>2</v>
      </c>
      <c r="E41">
        <v>1</v>
      </c>
      <c r="F41">
        <v>72.099999999999994</v>
      </c>
      <c r="G41" t="s">
        <v>242</v>
      </c>
      <c r="H41" t="s">
        <v>231</v>
      </c>
      <c r="I41" t="s">
        <v>232</v>
      </c>
      <c r="J41">
        <v>2022</v>
      </c>
      <c r="K41" t="s">
        <v>69</v>
      </c>
      <c r="L41" t="s">
        <v>233</v>
      </c>
      <c r="M41" t="s">
        <v>108</v>
      </c>
      <c r="N41" t="s">
        <v>72</v>
      </c>
      <c r="O41" t="s">
        <v>234</v>
      </c>
      <c r="P41" t="str">
        <f>VLOOKUP(O41,Sheet3!$A$1:$B$22,2,0)</f>
        <v>Demand Forecasting</v>
      </c>
      <c r="Q41" t="s">
        <v>74</v>
      </c>
      <c r="R41" t="s">
        <v>75</v>
      </c>
      <c r="S41" t="s">
        <v>75</v>
      </c>
      <c r="T41" t="s">
        <v>75</v>
      </c>
      <c r="U41" t="s">
        <v>76</v>
      </c>
      <c r="V41" t="s">
        <v>75</v>
      </c>
      <c r="W41" t="s">
        <v>75</v>
      </c>
      <c r="X41" t="s">
        <v>135</v>
      </c>
      <c r="Y41" t="s">
        <v>135</v>
      </c>
      <c r="Z41" t="s">
        <v>77</v>
      </c>
      <c r="AA41" t="s">
        <v>235</v>
      </c>
      <c r="AB41" t="s">
        <v>74</v>
      </c>
      <c r="AC41" t="s">
        <v>135</v>
      </c>
      <c r="AD41" t="s">
        <v>546</v>
      </c>
      <c r="AE41" t="s">
        <v>79</v>
      </c>
      <c r="AF41" t="s">
        <v>75</v>
      </c>
      <c r="AG41" t="s">
        <v>243</v>
      </c>
      <c r="AH41" t="s">
        <v>75</v>
      </c>
      <c r="AI41" t="s">
        <v>75</v>
      </c>
      <c r="AK41" t="s">
        <v>115</v>
      </c>
      <c r="AL41" t="s">
        <v>115</v>
      </c>
      <c r="AM41" t="s">
        <v>116</v>
      </c>
      <c r="AN41">
        <v>245</v>
      </c>
      <c r="AO41">
        <v>81</v>
      </c>
      <c r="AP41">
        <v>82</v>
      </c>
      <c r="AQ41" t="s">
        <v>84</v>
      </c>
      <c r="AR41" t="s">
        <v>84</v>
      </c>
      <c r="AS41" t="s">
        <v>164</v>
      </c>
      <c r="AT41" t="s">
        <v>75</v>
      </c>
      <c r="AU41" t="s">
        <v>76</v>
      </c>
      <c r="AV41">
        <v>0.52</v>
      </c>
      <c r="AW41">
        <v>0.85</v>
      </c>
      <c r="AX41">
        <v>0.68</v>
      </c>
      <c r="AY41">
        <v>0.52</v>
      </c>
      <c r="AZ41">
        <v>0.85</v>
      </c>
      <c r="BA41">
        <v>0.68</v>
      </c>
      <c r="BB41" t="s">
        <v>86</v>
      </c>
      <c r="BC41">
        <v>0.85</v>
      </c>
      <c r="BD41">
        <v>0.52</v>
      </c>
      <c r="BE41">
        <v>0</v>
      </c>
      <c r="BF41">
        <v>0.09</v>
      </c>
      <c r="BG41">
        <v>0</v>
      </c>
      <c r="BH41">
        <v>0.12</v>
      </c>
      <c r="BI41">
        <v>0</v>
      </c>
      <c r="BJ41">
        <v>0.09</v>
      </c>
      <c r="BK41" t="s">
        <v>75</v>
      </c>
    </row>
    <row r="42" spans="1:65" x14ac:dyDescent="0.55000000000000004">
      <c r="A42" t="s">
        <v>229</v>
      </c>
      <c r="B42">
        <v>72</v>
      </c>
      <c r="C42">
        <v>1</v>
      </c>
      <c r="D42">
        <v>2</v>
      </c>
      <c r="E42">
        <v>2</v>
      </c>
      <c r="F42">
        <v>72.099999999999994</v>
      </c>
      <c r="G42" t="s">
        <v>244</v>
      </c>
      <c r="H42" t="s">
        <v>231</v>
      </c>
      <c r="I42" t="s">
        <v>232</v>
      </c>
      <c r="J42">
        <v>2022</v>
      </c>
      <c r="K42" t="s">
        <v>69</v>
      </c>
      <c r="L42" t="s">
        <v>233</v>
      </c>
      <c r="M42" t="s">
        <v>108</v>
      </c>
      <c r="N42" t="s">
        <v>72</v>
      </c>
      <c r="O42" t="s">
        <v>234</v>
      </c>
      <c r="P42" t="str">
        <f>VLOOKUP(O42,Sheet3!$A$1:$B$22,2,0)</f>
        <v>Demand Forecasting</v>
      </c>
      <c r="Q42" t="s">
        <v>74</v>
      </c>
      <c r="R42" t="s">
        <v>75</v>
      </c>
      <c r="S42" t="s">
        <v>75</v>
      </c>
      <c r="T42" t="s">
        <v>75</v>
      </c>
      <c r="U42" t="s">
        <v>76</v>
      </c>
      <c r="V42" t="s">
        <v>75</v>
      </c>
      <c r="W42" t="s">
        <v>75</v>
      </c>
      <c r="X42" t="s">
        <v>135</v>
      </c>
      <c r="Y42" t="s">
        <v>135</v>
      </c>
      <c r="Z42" t="s">
        <v>77</v>
      </c>
      <c r="AA42" t="s">
        <v>235</v>
      </c>
      <c r="AB42" t="s">
        <v>74</v>
      </c>
      <c r="AC42" t="s">
        <v>135</v>
      </c>
      <c r="AD42" t="s">
        <v>546</v>
      </c>
      <c r="AE42" t="s">
        <v>79</v>
      </c>
      <c r="AF42" t="s">
        <v>75</v>
      </c>
      <c r="AG42" t="s">
        <v>243</v>
      </c>
      <c r="AH42" t="s">
        <v>75</v>
      </c>
      <c r="AI42" t="s">
        <v>75</v>
      </c>
      <c r="AK42" t="s">
        <v>238</v>
      </c>
      <c r="AL42" t="s">
        <v>239</v>
      </c>
      <c r="AM42" t="s">
        <v>116</v>
      </c>
      <c r="AN42">
        <v>245</v>
      </c>
      <c r="AO42">
        <v>81</v>
      </c>
      <c r="AP42">
        <v>82</v>
      </c>
      <c r="AQ42" t="s">
        <v>84</v>
      </c>
      <c r="AR42" t="s">
        <v>84</v>
      </c>
      <c r="AS42" t="s">
        <v>164</v>
      </c>
      <c r="AT42" t="s">
        <v>75</v>
      </c>
      <c r="AU42" t="s">
        <v>76</v>
      </c>
      <c r="AV42">
        <v>-0.08</v>
      </c>
      <c r="AW42">
        <v>2.12</v>
      </c>
      <c r="AX42">
        <v>0.83</v>
      </c>
      <c r="AY42">
        <v>-0.08</v>
      </c>
      <c r="AZ42">
        <v>2.12</v>
      </c>
      <c r="BA42">
        <v>0.83</v>
      </c>
      <c r="BB42" t="s">
        <v>86</v>
      </c>
      <c r="BC42">
        <v>2.12</v>
      </c>
      <c r="BD42">
        <v>-0.08</v>
      </c>
      <c r="BE42">
        <v>0</v>
      </c>
      <c r="BF42">
        <v>0.5</v>
      </c>
      <c r="BG42">
        <v>0</v>
      </c>
      <c r="BH42">
        <v>0.68</v>
      </c>
      <c r="BI42">
        <v>0</v>
      </c>
      <c r="BJ42">
        <v>0.5</v>
      </c>
      <c r="BK42" t="s">
        <v>75</v>
      </c>
    </row>
    <row r="43" spans="1:65" x14ac:dyDescent="0.55000000000000004">
      <c r="A43" t="s">
        <v>229</v>
      </c>
      <c r="B43">
        <v>72</v>
      </c>
      <c r="C43">
        <v>1</v>
      </c>
      <c r="D43">
        <v>2</v>
      </c>
      <c r="E43">
        <v>3</v>
      </c>
      <c r="F43">
        <v>72.099999999999994</v>
      </c>
      <c r="G43" t="s">
        <v>245</v>
      </c>
      <c r="H43" t="s">
        <v>231</v>
      </c>
      <c r="I43" t="s">
        <v>232</v>
      </c>
      <c r="J43">
        <v>2022</v>
      </c>
      <c r="K43" t="s">
        <v>69</v>
      </c>
      <c r="L43" t="s">
        <v>233</v>
      </c>
      <c r="M43" t="s">
        <v>108</v>
      </c>
      <c r="N43" t="s">
        <v>72</v>
      </c>
      <c r="O43" t="s">
        <v>234</v>
      </c>
      <c r="P43" t="str">
        <f>VLOOKUP(O43,Sheet3!$A$1:$B$22,2,0)</f>
        <v>Demand Forecasting</v>
      </c>
      <c r="Q43" t="s">
        <v>74</v>
      </c>
      <c r="R43" t="s">
        <v>75</v>
      </c>
      <c r="S43" t="s">
        <v>75</v>
      </c>
      <c r="T43" t="s">
        <v>75</v>
      </c>
      <c r="U43" t="s">
        <v>76</v>
      </c>
      <c r="V43" t="s">
        <v>75</v>
      </c>
      <c r="W43" t="s">
        <v>75</v>
      </c>
      <c r="X43" t="s">
        <v>135</v>
      </c>
      <c r="Y43" t="s">
        <v>135</v>
      </c>
      <c r="Z43" t="s">
        <v>77</v>
      </c>
      <c r="AA43" t="s">
        <v>235</v>
      </c>
      <c r="AB43" t="s">
        <v>74</v>
      </c>
      <c r="AC43" t="s">
        <v>135</v>
      </c>
      <c r="AD43" t="s">
        <v>546</v>
      </c>
      <c r="AE43" t="s">
        <v>79</v>
      </c>
      <c r="AF43" t="s">
        <v>75</v>
      </c>
      <c r="AG43" t="s">
        <v>243</v>
      </c>
      <c r="AH43" t="s">
        <v>75</v>
      </c>
      <c r="AI43" t="s">
        <v>75</v>
      </c>
      <c r="AK43" t="s">
        <v>241</v>
      </c>
      <c r="AL43" t="s">
        <v>239</v>
      </c>
      <c r="AM43" t="s">
        <v>83</v>
      </c>
      <c r="AN43">
        <v>245</v>
      </c>
      <c r="AO43">
        <v>81</v>
      </c>
      <c r="AP43">
        <v>82</v>
      </c>
      <c r="AQ43" t="s">
        <v>84</v>
      </c>
      <c r="AR43" t="s">
        <v>84</v>
      </c>
      <c r="AS43" t="s">
        <v>164</v>
      </c>
      <c r="AT43" t="s">
        <v>75</v>
      </c>
      <c r="AU43" t="s">
        <v>76</v>
      </c>
      <c r="AV43">
        <v>0.33</v>
      </c>
      <c r="AW43">
        <v>0.22</v>
      </c>
      <c r="AX43">
        <v>0.2</v>
      </c>
      <c r="AY43">
        <v>0.33</v>
      </c>
      <c r="AZ43">
        <v>0.22</v>
      </c>
      <c r="BA43">
        <v>0.2</v>
      </c>
      <c r="BB43" t="s">
        <v>79</v>
      </c>
      <c r="BC43">
        <v>0.33</v>
      </c>
      <c r="BD43">
        <v>0.22</v>
      </c>
      <c r="BE43">
        <v>0</v>
      </c>
      <c r="BF43">
        <v>0.44</v>
      </c>
      <c r="BG43">
        <v>0</v>
      </c>
      <c r="BH43">
        <v>0.41</v>
      </c>
      <c r="BI43">
        <v>0.44</v>
      </c>
      <c r="BJ43">
        <v>0</v>
      </c>
      <c r="BK43" t="s">
        <v>75</v>
      </c>
    </row>
    <row r="44" spans="1:65" x14ac:dyDescent="0.55000000000000004">
      <c r="A44" t="s">
        <v>246</v>
      </c>
      <c r="B44">
        <v>74</v>
      </c>
      <c r="C44">
        <v>1</v>
      </c>
      <c r="D44">
        <v>1</v>
      </c>
      <c r="E44">
        <v>1</v>
      </c>
      <c r="F44">
        <v>74.099999999999994</v>
      </c>
      <c r="G44" t="s">
        <v>247</v>
      </c>
      <c r="H44" t="s">
        <v>248</v>
      </c>
      <c r="I44" t="s">
        <v>249</v>
      </c>
      <c r="J44">
        <v>2022</v>
      </c>
      <c r="K44" t="s">
        <v>69</v>
      </c>
      <c r="L44" t="s">
        <v>250</v>
      </c>
      <c r="M44" t="s">
        <v>217</v>
      </c>
      <c r="N44" t="s">
        <v>100</v>
      </c>
      <c r="O44" t="s">
        <v>251</v>
      </c>
      <c r="P44" s="9" t="s">
        <v>550</v>
      </c>
      <c r="Q44" t="s">
        <v>134</v>
      </c>
      <c r="R44" t="s">
        <v>75</v>
      </c>
      <c r="S44" t="s">
        <v>75</v>
      </c>
      <c r="T44" t="s">
        <v>76</v>
      </c>
      <c r="U44" t="s">
        <v>75</v>
      </c>
      <c r="V44" t="s">
        <v>75</v>
      </c>
      <c r="W44" t="s">
        <v>75</v>
      </c>
      <c r="X44" t="s">
        <v>135</v>
      </c>
      <c r="Y44" t="s">
        <v>135</v>
      </c>
      <c r="Z44" t="s">
        <v>77</v>
      </c>
      <c r="AA44" t="s">
        <v>112</v>
      </c>
      <c r="AB44" t="s">
        <v>134</v>
      </c>
      <c r="AC44" t="s">
        <v>135</v>
      </c>
      <c r="AD44" t="s">
        <v>112</v>
      </c>
      <c r="AE44" t="s">
        <v>79</v>
      </c>
      <c r="AF44" t="s">
        <v>75</v>
      </c>
      <c r="AG44" t="s">
        <v>252</v>
      </c>
      <c r="AH44" t="s">
        <v>75</v>
      </c>
      <c r="AI44" t="s">
        <v>75</v>
      </c>
      <c r="AK44" t="s">
        <v>115</v>
      </c>
      <c r="AL44" t="s">
        <v>115</v>
      </c>
      <c r="AM44" t="s">
        <v>116</v>
      </c>
      <c r="AN44">
        <v>198</v>
      </c>
      <c r="AO44">
        <v>198</v>
      </c>
      <c r="AP44">
        <v>198</v>
      </c>
      <c r="AQ44" t="s">
        <v>84</v>
      </c>
      <c r="AR44" t="s">
        <v>84</v>
      </c>
      <c r="AS44" t="s">
        <v>164</v>
      </c>
      <c r="AT44" t="s">
        <v>75</v>
      </c>
      <c r="AU44" t="s">
        <v>76</v>
      </c>
      <c r="AV44">
        <v>0.58479999999999999</v>
      </c>
      <c r="AW44">
        <v>0.5</v>
      </c>
      <c r="AX44">
        <v>0.61970000000000003</v>
      </c>
      <c r="AY44">
        <v>0.58479999999999999</v>
      </c>
      <c r="AZ44">
        <v>0.5</v>
      </c>
      <c r="BA44">
        <v>0.61970000000000003</v>
      </c>
      <c r="BB44" t="s">
        <v>79</v>
      </c>
      <c r="BC44">
        <v>0.58479999999999999</v>
      </c>
      <c r="BD44">
        <v>0.5</v>
      </c>
      <c r="BE44">
        <v>1</v>
      </c>
      <c r="BF44">
        <v>0.11269999999999999</v>
      </c>
      <c r="BG44">
        <v>0</v>
      </c>
      <c r="BH44">
        <v>0.10879999999999999</v>
      </c>
      <c r="BI44">
        <v>0.112693054</v>
      </c>
      <c r="BJ44">
        <v>0</v>
      </c>
      <c r="BK44" t="s">
        <v>75</v>
      </c>
    </row>
    <row r="45" spans="1:65" x14ac:dyDescent="0.55000000000000004">
      <c r="A45" t="s">
        <v>246</v>
      </c>
      <c r="B45">
        <v>74</v>
      </c>
      <c r="C45">
        <v>1</v>
      </c>
      <c r="D45">
        <v>2</v>
      </c>
      <c r="E45">
        <v>1</v>
      </c>
      <c r="F45">
        <v>74.099999999999994</v>
      </c>
      <c r="G45" t="s">
        <v>253</v>
      </c>
      <c r="H45" t="s">
        <v>248</v>
      </c>
      <c r="I45" t="s">
        <v>249</v>
      </c>
      <c r="J45">
        <v>2022</v>
      </c>
      <c r="K45" t="s">
        <v>69</v>
      </c>
      <c r="L45" t="s">
        <v>250</v>
      </c>
      <c r="M45" t="s">
        <v>217</v>
      </c>
      <c r="N45" t="s">
        <v>100</v>
      </c>
      <c r="O45" t="s">
        <v>251</v>
      </c>
      <c r="P45" s="9" t="s">
        <v>550</v>
      </c>
      <c r="Q45" t="s">
        <v>134</v>
      </c>
      <c r="R45" t="s">
        <v>75</v>
      </c>
      <c r="S45" t="s">
        <v>75</v>
      </c>
      <c r="T45" t="s">
        <v>76</v>
      </c>
      <c r="U45" t="s">
        <v>75</v>
      </c>
      <c r="V45" t="s">
        <v>75</v>
      </c>
      <c r="W45" t="s">
        <v>75</v>
      </c>
      <c r="X45" t="s">
        <v>135</v>
      </c>
      <c r="Y45" t="s">
        <v>135</v>
      </c>
      <c r="Z45" t="s">
        <v>77</v>
      </c>
      <c r="AA45" t="s">
        <v>112</v>
      </c>
      <c r="AB45" t="s">
        <v>134</v>
      </c>
      <c r="AC45" t="s">
        <v>135</v>
      </c>
      <c r="AD45" t="s">
        <v>112</v>
      </c>
      <c r="AE45" t="s">
        <v>79</v>
      </c>
      <c r="AF45" t="s">
        <v>75</v>
      </c>
      <c r="AG45" t="s">
        <v>254</v>
      </c>
      <c r="AH45" t="s">
        <v>75</v>
      </c>
      <c r="AI45" t="s">
        <v>75</v>
      </c>
      <c r="AK45" t="s">
        <v>115</v>
      </c>
      <c r="AL45" t="s">
        <v>115</v>
      </c>
      <c r="AM45" t="s">
        <v>116</v>
      </c>
      <c r="AN45">
        <v>198</v>
      </c>
      <c r="AO45">
        <v>198</v>
      </c>
      <c r="AP45">
        <v>198</v>
      </c>
      <c r="AQ45" t="s">
        <v>84</v>
      </c>
      <c r="AR45" t="s">
        <v>84</v>
      </c>
      <c r="AS45" t="s">
        <v>164</v>
      </c>
      <c r="AT45" t="s">
        <v>75</v>
      </c>
      <c r="AU45" t="s">
        <v>76</v>
      </c>
      <c r="AV45">
        <v>0.58479999999999999</v>
      </c>
      <c r="AW45">
        <v>0.5</v>
      </c>
      <c r="AX45">
        <v>0.56689999999999996</v>
      </c>
      <c r="AY45">
        <v>0.58479999999999999</v>
      </c>
      <c r="AZ45">
        <v>0.5</v>
      </c>
      <c r="BA45">
        <v>0.56689999999999996</v>
      </c>
      <c r="BB45" t="s">
        <v>79</v>
      </c>
      <c r="BC45">
        <v>0.58479999999999999</v>
      </c>
      <c r="BD45">
        <v>0.5</v>
      </c>
      <c r="BE45">
        <v>0</v>
      </c>
      <c r="BF45">
        <v>0.11269999999999999</v>
      </c>
      <c r="BG45">
        <v>0</v>
      </c>
      <c r="BH45">
        <v>8.7800000000000003E-2</v>
      </c>
      <c r="BI45">
        <v>0.112693054</v>
      </c>
      <c r="BJ45">
        <v>0</v>
      </c>
      <c r="BK45" t="s">
        <v>75</v>
      </c>
    </row>
    <row r="46" spans="1:65" x14ac:dyDescent="0.55000000000000004">
      <c r="A46" t="s">
        <v>246</v>
      </c>
      <c r="B46">
        <v>74</v>
      </c>
      <c r="C46">
        <v>1</v>
      </c>
      <c r="D46">
        <v>3</v>
      </c>
      <c r="E46">
        <v>1</v>
      </c>
      <c r="F46">
        <v>74.099999999999994</v>
      </c>
      <c r="G46" t="s">
        <v>255</v>
      </c>
      <c r="H46" t="s">
        <v>248</v>
      </c>
      <c r="I46" t="s">
        <v>249</v>
      </c>
      <c r="J46">
        <v>2022</v>
      </c>
      <c r="K46" t="s">
        <v>69</v>
      </c>
      <c r="L46" t="s">
        <v>250</v>
      </c>
      <c r="M46" t="s">
        <v>217</v>
      </c>
      <c r="N46" t="s">
        <v>100</v>
      </c>
      <c r="O46" t="s">
        <v>251</v>
      </c>
      <c r="P46" s="9" t="s">
        <v>550</v>
      </c>
      <c r="Q46" t="s">
        <v>134</v>
      </c>
      <c r="R46" t="s">
        <v>75</v>
      </c>
      <c r="S46" t="s">
        <v>75</v>
      </c>
      <c r="T46" t="s">
        <v>76</v>
      </c>
      <c r="U46" t="s">
        <v>75</v>
      </c>
      <c r="V46" t="s">
        <v>75</v>
      </c>
      <c r="W46" t="s">
        <v>75</v>
      </c>
      <c r="X46" t="s">
        <v>135</v>
      </c>
      <c r="Y46" t="s">
        <v>135</v>
      </c>
      <c r="Z46" t="s">
        <v>77</v>
      </c>
      <c r="AA46" t="s">
        <v>112</v>
      </c>
      <c r="AB46" t="s">
        <v>134</v>
      </c>
      <c r="AC46" t="s">
        <v>135</v>
      </c>
      <c r="AD46" t="s">
        <v>112</v>
      </c>
      <c r="AE46" t="s">
        <v>79</v>
      </c>
      <c r="AF46" t="s">
        <v>75</v>
      </c>
      <c r="AG46" t="s">
        <v>256</v>
      </c>
      <c r="AH46" t="s">
        <v>75</v>
      </c>
      <c r="AI46" t="s">
        <v>75</v>
      </c>
      <c r="AK46" t="s">
        <v>115</v>
      </c>
      <c r="AL46" t="s">
        <v>115</v>
      </c>
      <c r="AM46" t="s">
        <v>116</v>
      </c>
      <c r="AN46">
        <v>198</v>
      </c>
      <c r="AO46">
        <v>198</v>
      </c>
      <c r="AP46">
        <v>198</v>
      </c>
      <c r="AQ46" t="s">
        <v>84</v>
      </c>
      <c r="AR46" t="s">
        <v>84</v>
      </c>
      <c r="AS46" t="s">
        <v>164</v>
      </c>
      <c r="AT46" t="s">
        <v>75</v>
      </c>
      <c r="AU46" t="s">
        <v>76</v>
      </c>
      <c r="AV46">
        <v>0.58479999999999999</v>
      </c>
      <c r="AW46">
        <v>0.5</v>
      </c>
      <c r="AX46">
        <v>0.58989999999999998</v>
      </c>
      <c r="AY46">
        <v>0.58479999999999999</v>
      </c>
      <c r="AZ46">
        <v>0.5</v>
      </c>
      <c r="BA46">
        <v>0.58989999999999998</v>
      </c>
      <c r="BB46" t="s">
        <v>79</v>
      </c>
      <c r="BC46">
        <v>0.58479999999999999</v>
      </c>
      <c r="BD46">
        <v>0.5</v>
      </c>
      <c r="BE46">
        <v>1</v>
      </c>
      <c r="BF46">
        <v>0.11269999999999999</v>
      </c>
      <c r="BG46">
        <v>0</v>
      </c>
      <c r="BH46">
        <v>0.12939999999999999</v>
      </c>
      <c r="BI46">
        <v>0.112693054</v>
      </c>
      <c r="BJ46">
        <v>0</v>
      </c>
      <c r="BK46" t="s">
        <v>75</v>
      </c>
    </row>
    <row r="47" spans="1:65" x14ac:dyDescent="0.55000000000000004">
      <c r="A47" t="s">
        <v>257</v>
      </c>
      <c r="B47">
        <v>84</v>
      </c>
      <c r="C47">
        <v>4</v>
      </c>
      <c r="D47">
        <v>1</v>
      </c>
      <c r="E47">
        <v>1</v>
      </c>
      <c r="F47">
        <v>4.0999999999999996</v>
      </c>
      <c r="G47" t="s">
        <v>258</v>
      </c>
      <c r="H47" t="s">
        <v>259</v>
      </c>
      <c r="I47" t="s">
        <v>260</v>
      </c>
      <c r="J47">
        <v>2024</v>
      </c>
      <c r="K47" t="s">
        <v>69</v>
      </c>
      <c r="L47" t="s">
        <v>261</v>
      </c>
      <c r="M47" t="s">
        <v>262</v>
      </c>
      <c r="N47" t="s">
        <v>100</v>
      </c>
      <c r="O47" t="s">
        <v>263</v>
      </c>
      <c r="P47" t="str">
        <f>VLOOKUP(O47,Sheet3!$A$1:$B$22,2,0)</f>
        <v>Customer Service</v>
      </c>
      <c r="Q47" t="s">
        <v>134</v>
      </c>
      <c r="R47" t="s">
        <v>75</v>
      </c>
      <c r="S47" t="s">
        <v>75</v>
      </c>
      <c r="T47" t="s">
        <v>75</v>
      </c>
      <c r="U47" t="s">
        <v>76</v>
      </c>
      <c r="V47" t="s">
        <v>76</v>
      </c>
      <c r="W47" t="s">
        <v>75</v>
      </c>
      <c r="X47" t="s">
        <v>111</v>
      </c>
      <c r="Y47" t="s">
        <v>111</v>
      </c>
      <c r="Z47" t="s">
        <v>77</v>
      </c>
      <c r="AA47" t="s">
        <v>112</v>
      </c>
      <c r="AB47" t="s">
        <v>179</v>
      </c>
      <c r="AC47" t="s">
        <v>179</v>
      </c>
      <c r="AD47" t="s">
        <v>112</v>
      </c>
      <c r="AE47" t="s">
        <v>79</v>
      </c>
      <c r="AF47" t="s">
        <v>75</v>
      </c>
      <c r="AG47" t="s">
        <v>264</v>
      </c>
      <c r="AH47" t="s">
        <v>76</v>
      </c>
      <c r="AI47" t="s">
        <v>76</v>
      </c>
      <c r="AJ47" t="s">
        <v>265</v>
      </c>
      <c r="AK47" t="s">
        <v>115</v>
      </c>
      <c r="AL47" t="s">
        <v>115</v>
      </c>
      <c r="AM47" t="s">
        <v>116</v>
      </c>
      <c r="AN47">
        <v>4</v>
      </c>
      <c r="AO47">
        <v>320</v>
      </c>
      <c r="AP47">
        <v>320</v>
      </c>
      <c r="AQ47" t="s">
        <v>84</v>
      </c>
      <c r="AR47" t="s">
        <v>84</v>
      </c>
      <c r="AS47" t="s">
        <v>164</v>
      </c>
      <c r="AT47" t="s">
        <v>75</v>
      </c>
      <c r="AU47" t="s">
        <v>76</v>
      </c>
      <c r="AV47">
        <v>0.54200000000000004</v>
      </c>
      <c r="AW47">
        <v>0.8</v>
      </c>
      <c r="AX47">
        <v>0.66800000000000004</v>
      </c>
      <c r="AY47">
        <v>0.54200000000000004</v>
      </c>
      <c r="AZ47">
        <v>0.8</v>
      </c>
      <c r="BA47">
        <v>0.66800000000000004</v>
      </c>
      <c r="BB47" t="s">
        <v>86</v>
      </c>
      <c r="BC47">
        <v>0.8</v>
      </c>
      <c r="BD47">
        <v>0.54200000000000004</v>
      </c>
      <c r="BE47">
        <v>0</v>
      </c>
      <c r="BF47">
        <v>0.19</v>
      </c>
      <c r="BG47">
        <v>0</v>
      </c>
      <c r="BH47">
        <v>0.13</v>
      </c>
      <c r="BI47">
        <v>0</v>
      </c>
      <c r="BJ47">
        <v>0.19</v>
      </c>
      <c r="BK47" t="s">
        <v>76</v>
      </c>
      <c r="BL47" t="s">
        <v>266</v>
      </c>
      <c r="BM47" t="s">
        <v>267</v>
      </c>
    </row>
    <row r="48" spans="1:65" x14ac:dyDescent="0.55000000000000004">
      <c r="A48" t="s">
        <v>268</v>
      </c>
      <c r="B48">
        <v>43</v>
      </c>
      <c r="C48">
        <v>1</v>
      </c>
      <c r="D48">
        <v>1</v>
      </c>
      <c r="E48">
        <v>1</v>
      </c>
      <c r="F48">
        <v>43.1</v>
      </c>
      <c r="G48" t="s">
        <v>269</v>
      </c>
      <c r="H48" t="s">
        <v>270</v>
      </c>
      <c r="I48" t="s">
        <v>271</v>
      </c>
      <c r="J48">
        <v>2020</v>
      </c>
      <c r="K48" t="s">
        <v>272</v>
      </c>
      <c r="L48" t="s">
        <v>273</v>
      </c>
      <c r="M48" t="s">
        <v>108</v>
      </c>
      <c r="N48" t="s">
        <v>72</v>
      </c>
      <c r="O48" t="s">
        <v>274</v>
      </c>
      <c r="P48" t="str">
        <f>VLOOKUP(O48,Sheet3!$A$1:$B$22,2,0)</f>
        <v>Review Analysis</v>
      </c>
      <c r="Q48" t="s">
        <v>110</v>
      </c>
      <c r="R48" t="s">
        <v>75</v>
      </c>
      <c r="S48" t="s">
        <v>75</v>
      </c>
      <c r="T48" t="s">
        <v>75</v>
      </c>
      <c r="U48" t="s">
        <v>75</v>
      </c>
      <c r="V48" t="s">
        <v>76</v>
      </c>
      <c r="W48" t="s">
        <v>75</v>
      </c>
      <c r="X48" t="s">
        <v>111</v>
      </c>
      <c r="Y48" t="s">
        <v>111</v>
      </c>
      <c r="Z48" t="s">
        <v>77</v>
      </c>
      <c r="AA48" t="s">
        <v>112</v>
      </c>
      <c r="AB48" t="s">
        <v>110</v>
      </c>
      <c r="AC48" t="s">
        <v>113</v>
      </c>
      <c r="AD48" t="s">
        <v>112</v>
      </c>
      <c r="AE48" t="s">
        <v>79</v>
      </c>
      <c r="AF48" t="s">
        <v>75</v>
      </c>
      <c r="AG48" t="s">
        <v>275</v>
      </c>
      <c r="AH48" t="s">
        <v>75</v>
      </c>
      <c r="AI48" t="s">
        <v>75</v>
      </c>
      <c r="AK48" t="s">
        <v>115</v>
      </c>
      <c r="AL48" t="s">
        <v>115</v>
      </c>
      <c r="AM48" t="s">
        <v>116</v>
      </c>
      <c r="AN48">
        <v>480</v>
      </c>
      <c r="AO48">
        <v>80</v>
      </c>
      <c r="AP48">
        <v>80</v>
      </c>
      <c r="AQ48" t="s">
        <v>84</v>
      </c>
      <c r="AR48" t="s">
        <v>84</v>
      </c>
      <c r="AS48" t="s">
        <v>85</v>
      </c>
      <c r="AT48" t="s">
        <v>75</v>
      </c>
      <c r="AU48" t="s">
        <v>76</v>
      </c>
      <c r="AV48">
        <v>0.54400000000000004</v>
      </c>
      <c r="AW48">
        <v>0.375</v>
      </c>
      <c r="AX48">
        <v>0.52500000000000002</v>
      </c>
      <c r="AY48">
        <v>0.54400000000000004</v>
      </c>
      <c r="AZ48">
        <v>0.375</v>
      </c>
      <c r="BA48">
        <v>0.52500000000000002</v>
      </c>
      <c r="BB48" t="s">
        <v>79</v>
      </c>
      <c r="BC48">
        <v>0.54400000000000004</v>
      </c>
      <c r="BD48">
        <v>0.375</v>
      </c>
      <c r="BE48">
        <v>0</v>
      </c>
      <c r="BF48">
        <v>0.115</v>
      </c>
      <c r="BG48">
        <v>0</v>
      </c>
      <c r="BH48">
        <v>0.1018</v>
      </c>
      <c r="BI48">
        <v>0.115</v>
      </c>
      <c r="BJ48">
        <v>0</v>
      </c>
      <c r="BK48" t="s">
        <v>76</v>
      </c>
      <c r="BL48" t="s">
        <v>276</v>
      </c>
    </row>
    <row r="49" spans="1:64" x14ac:dyDescent="0.55000000000000004">
      <c r="A49" t="s">
        <v>268</v>
      </c>
      <c r="B49">
        <v>43</v>
      </c>
      <c r="C49">
        <v>1</v>
      </c>
      <c r="D49">
        <v>1</v>
      </c>
      <c r="E49">
        <v>2</v>
      </c>
      <c r="F49">
        <v>43.1</v>
      </c>
      <c r="G49" t="s">
        <v>277</v>
      </c>
      <c r="H49" t="s">
        <v>270</v>
      </c>
      <c r="I49" t="s">
        <v>271</v>
      </c>
      <c r="J49">
        <v>2020</v>
      </c>
      <c r="K49" t="s">
        <v>272</v>
      </c>
      <c r="L49" t="s">
        <v>273</v>
      </c>
      <c r="M49" t="s">
        <v>108</v>
      </c>
      <c r="N49" t="s">
        <v>72</v>
      </c>
      <c r="O49" t="s">
        <v>274</v>
      </c>
      <c r="P49" t="str">
        <f>VLOOKUP(O49,Sheet3!$A$1:$B$22,2,0)</f>
        <v>Review Analysis</v>
      </c>
      <c r="Q49" t="s">
        <v>110</v>
      </c>
      <c r="R49" t="s">
        <v>75</v>
      </c>
      <c r="S49" t="s">
        <v>75</v>
      </c>
      <c r="T49" t="s">
        <v>75</v>
      </c>
      <c r="U49" t="s">
        <v>75</v>
      </c>
      <c r="V49" t="s">
        <v>76</v>
      </c>
      <c r="W49" t="s">
        <v>75</v>
      </c>
      <c r="X49" t="s">
        <v>111</v>
      </c>
      <c r="Y49" t="s">
        <v>111</v>
      </c>
      <c r="Z49" t="s">
        <v>77</v>
      </c>
      <c r="AA49" t="s">
        <v>112</v>
      </c>
      <c r="AB49" t="s">
        <v>110</v>
      </c>
      <c r="AC49" t="s">
        <v>113</v>
      </c>
      <c r="AD49" t="s">
        <v>112</v>
      </c>
      <c r="AE49" t="s">
        <v>79</v>
      </c>
      <c r="AF49" t="s">
        <v>75</v>
      </c>
      <c r="AG49" t="s">
        <v>275</v>
      </c>
      <c r="AH49" t="s">
        <v>75</v>
      </c>
      <c r="AI49" t="s">
        <v>75</v>
      </c>
      <c r="AK49" t="s">
        <v>278</v>
      </c>
      <c r="AL49" t="s">
        <v>239</v>
      </c>
      <c r="AM49" t="s">
        <v>83</v>
      </c>
      <c r="AN49">
        <v>480</v>
      </c>
      <c r="AO49">
        <v>80</v>
      </c>
      <c r="AP49">
        <v>80</v>
      </c>
      <c r="AQ49" t="s">
        <v>84</v>
      </c>
      <c r="AR49" t="s">
        <v>84</v>
      </c>
      <c r="AS49" t="s">
        <v>85</v>
      </c>
      <c r="AT49" t="s">
        <v>75</v>
      </c>
      <c r="AU49" t="s">
        <v>76</v>
      </c>
      <c r="AV49">
        <v>0.27600000000000002</v>
      </c>
      <c r="AW49">
        <v>0.39600000000000002</v>
      </c>
      <c r="AX49">
        <v>0.315</v>
      </c>
      <c r="AY49">
        <v>-0.27600000000000002</v>
      </c>
      <c r="AZ49">
        <v>-0.39600000000000002</v>
      </c>
      <c r="BA49">
        <v>-0.315</v>
      </c>
      <c r="BB49" t="s">
        <v>79</v>
      </c>
      <c r="BC49">
        <v>-0.27600000000000002</v>
      </c>
      <c r="BD49">
        <v>-0.39600000000000002</v>
      </c>
      <c r="BE49">
        <v>0</v>
      </c>
      <c r="BF49">
        <v>0.122</v>
      </c>
      <c r="BG49">
        <v>0</v>
      </c>
      <c r="BH49">
        <v>0.10150000000000001</v>
      </c>
      <c r="BI49">
        <v>0.122</v>
      </c>
      <c r="BJ49">
        <v>0</v>
      </c>
      <c r="BK49" t="s">
        <v>76</v>
      </c>
      <c r="BL49" t="s">
        <v>279</v>
      </c>
    </row>
    <row r="50" spans="1:64" x14ac:dyDescent="0.55000000000000004">
      <c r="A50" t="s">
        <v>268</v>
      </c>
      <c r="B50">
        <v>43</v>
      </c>
      <c r="C50">
        <v>1</v>
      </c>
      <c r="D50">
        <v>1</v>
      </c>
      <c r="E50">
        <v>3</v>
      </c>
      <c r="F50">
        <v>43.1</v>
      </c>
      <c r="G50" t="s">
        <v>280</v>
      </c>
      <c r="H50" t="s">
        <v>270</v>
      </c>
      <c r="I50" t="s">
        <v>271</v>
      </c>
      <c r="J50">
        <v>2020</v>
      </c>
      <c r="K50" t="s">
        <v>272</v>
      </c>
      <c r="L50" t="s">
        <v>273</v>
      </c>
      <c r="M50" t="s">
        <v>108</v>
      </c>
      <c r="N50" t="s">
        <v>72</v>
      </c>
      <c r="O50" t="s">
        <v>274</v>
      </c>
      <c r="P50" t="str">
        <f>VLOOKUP(O50,Sheet3!$A$1:$B$22,2,0)</f>
        <v>Review Analysis</v>
      </c>
      <c r="Q50" t="s">
        <v>110</v>
      </c>
      <c r="R50" t="s">
        <v>75</v>
      </c>
      <c r="S50" t="s">
        <v>75</v>
      </c>
      <c r="T50" t="s">
        <v>75</v>
      </c>
      <c r="U50" t="s">
        <v>75</v>
      </c>
      <c r="V50" t="s">
        <v>76</v>
      </c>
      <c r="W50" t="s">
        <v>75</v>
      </c>
      <c r="X50" t="s">
        <v>111</v>
      </c>
      <c r="Y50" t="s">
        <v>111</v>
      </c>
      <c r="Z50" t="s">
        <v>77</v>
      </c>
      <c r="AA50" t="s">
        <v>112</v>
      </c>
      <c r="AB50" t="s">
        <v>110</v>
      </c>
      <c r="AC50" t="s">
        <v>113</v>
      </c>
      <c r="AD50" t="s">
        <v>112</v>
      </c>
      <c r="AE50" t="s">
        <v>79</v>
      </c>
      <c r="AF50" t="s">
        <v>75</v>
      </c>
      <c r="AG50" t="s">
        <v>275</v>
      </c>
      <c r="AH50" t="s">
        <v>75</v>
      </c>
      <c r="AI50" t="s">
        <v>75</v>
      </c>
      <c r="AK50" t="s">
        <v>281</v>
      </c>
      <c r="AL50" t="s">
        <v>239</v>
      </c>
      <c r="AM50" t="s">
        <v>83</v>
      </c>
      <c r="AN50">
        <v>480</v>
      </c>
      <c r="AO50">
        <v>80</v>
      </c>
      <c r="AP50">
        <v>80</v>
      </c>
      <c r="AQ50" t="s">
        <v>84</v>
      </c>
      <c r="AR50" t="s">
        <v>84</v>
      </c>
      <c r="AS50" t="s">
        <v>85</v>
      </c>
      <c r="AT50" t="s">
        <v>75</v>
      </c>
      <c r="AU50" t="s">
        <v>76</v>
      </c>
      <c r="AV50">
        <v>0.17899999999999999</v>
      </c>
      <c r="AW50">
        <v>0.22900000000000001</v>
      </c>
      <c r="AX50">
        <v>0.16</v>
      </c>
      <c r="AY50">
        <v>-0.17899999999999999</v>
      </c>
      <c r="AZ50">
        <v>-0.22900000000000001</v>
      </c>
      <c r="BA50">
        <v>-0.16</v>
      </c>
      <c r="BB50" t="s">
        <v>79</v>
      </c>
      <c r="BC50">
        <v>-0.17899999999999999</v>
      </c>
      <c r="BD50">
        <v>-0.22900000000000001</v>
      </c>
      <c r="BE50">
        <v>1</v>
      </c>
      <c r="BF50">
        <v>9.6000000000000002E-2</v>
      </c>
      <c r="BG50">
        <v>0</v>
      </c>
      <c r="BH50">
        <v>7.0999999999999994E-2</v>
      </c>
      <c r="BI50">
        <v>9.6000000000000002E-2</v>
      </c>
      <c r="BJ50">
        <v>0</v>
      </c>
      <c r="BK50" t="s">
        <v>76</v>
      </c>
      <c r="BL50" t="s">
        <v>282</v>
      </c>
    </row>
    <row r="51" spans="1:64" x14ac:dyDescent="0.55000000000000004">
      <c r="A51" t="s">
        <v>268</v>
      </c>
      <c r="B51">
        <v>43</v>
      </c>
      <c r="C51">
        <v>1</v>
      </c>
      <c r="D51">
        <v>2</v>
      </c>
      <c r="E51">
        <v>1</v>
      </c>
      <c r="F51">
        <v>43.1</v>
      </c>
      <c r="G51" t="s">
        <v>283</v>
      </c>
      <c r="H51" t="s">
        <v>270</v>
      </c>
      <c r="I51" t="s">
        <v>271</v>
      </c>
      <c r="J51">
        <v>2020</v>
      </c>
      <c r="K51" t="s">
        <v>272</v>
      </c>
      <c r="L51" t="s">
        <v>273</v>
      </c>
      <c r="M51" t="s">
        <v>108</v>
      </c>
      <c r="N51" t="s">
        <v>72</v>
      </c>
      <c r="O51" t="s">
        <v>274</v>
      </c>
      <c r="P51" t="str">
        <f>VLOOKUP(O51,Sheet3!$A$1:$B$22,2,0)</f>
        <v>Review Analysis</v>
      </c>
      <c r="Q51" t="s">
        <v>110</v>
      </c>
      <c r="R51" t="s">
        <v>75</v>
      </c>
      <c r="S51" t="s">
        <v>75</v>
      </c>
      <c r="T51" t="s">
        <v>75</v>
      </c>
      <c r="U51" t="s">
        <v>75</v>
      </c>
      <c r="V51" t="s">
        <v>76</v>
      </c>
      <c r="W51" t="s">
        <v>75</v>
      </c>
      <c r="X51" t="s">
        <v>111</v>
      </c>
      <c r="Y51" t="s">
        <v>111</v>
      </c>
      <c r="Z51" t="s">
        <v>77</v>
      </c>
      <c r="AA51" t="s">
        <v>112</v>
      </c>
      <c r="AB51" t="s">
        <v>110</v>
      </c>
      <c r="AC51" t="s">
        <v>113</v>
      </c>
      <c r="AD51" t="s">
        <v>112</v>
      </c>
      <c r="AE51" t="s">
        <v>79</v>
      </c>
      <c r="AF51" t="s">
        <v>75</v>
      </c>
      <c r="AG51" t="s">
        <v>276</v>
      </c>
      <c r="AH51" t="s">
        <v>76</v>
      </c>
      <c r="AI51" t="s">
        <v>75</v>
      </c>
      <c r="AJ51" t="s">
        <v>196</v>
      </c>
      <c r="AK51" t="s">
        <v>115</v>
      </c>
      <c r="AL51" t="s">
        <v>115</v>
      </c>
      <c r="AM51" t="s">
        <v>116</v>
      </c>
      <c r="AN51">
        <v>480</v>
      </c>
      <c r="AO51">
        <v>80</v>
      </c>
      <c r="AP51">
        <v>80</v>
      </c>
      <c r="AQ51" t="s">
        <v>84</v>
      </c>
      <c r="AR51" t="s">
        <v>84</v>
      </c>
      <c r="AS51" t="s">
        <v>85</v>
      </c>
      <c r="AT51" t="s">
        <v>75</v>
      </c>
      <c r="AU51" t="s">
        <v>76</v>
      </c>
      <c r="AV51">
        <v>0.54400000000000004</v>
      </c>
      <c r="AW51">
        <v>0.375</v>
      </c>
      <c r="AX51">
        <v>0.52400000000000002</v>
      </c>
      <c r="AY51">
        <v>0.54400000000000004</v>
      </c>
      <c r="AZ51">
        <v>0.375</v>
      </c>
      <c r="BA51">
        <v>0.52400000000000002</v>
      </c>
      <c r="BB51" t="s">
        <v>79</v>
      </c>
      <c r="BC51">
        <v>0.54400000000000004</v>
      </c>
      <c r="BD51">
        <v>0.375</v>
      </c>
      <c r="BE51">
        <v>0</v>
      </c>
      <c r="BF51">
        <v>0.115</v>
      </c>
      <c r="BG51">
        <v>0</v>
      </c>
      <c r="BH51">
        <v>9.3100000000000002E-2</v>
      </c>
      <c r="BI51">
        <v>0.115</v>
      </c>
      <c r="BJ51">
        <v>0</v>
      </c>
      <c r="BK51" t="s">
        <v>76</v>
      </c>
      <c r="BL51" t="s">
        <v>284</v>
      </c>
    </row>
    <row r="52" spans="1:64" x14ac:dyDescent="0.55000000000000004">
      <c r="A52" t="s">
        <v>268</v>
      </c>
      <c r="B52">
        <v>43</v>
      </c>
      <c r="C52">
        <v>1</v>
      </c>
      <c r="D52">
        <v>2</v>
      </c>
      <c r="E52">
        <v>2</v>
      </c>
      <c r="F52">
        <v>43.1</v>
      </c>
      <c r="G52" t="s">
        <v>285</v>
      </c>
      <c r="H52" t="s">
        <v>270</v>
      </c>
      <c r="I52" t="s">
        <v>271</v>
      </c>
      <c r="J52">
        <v>2020</v>
      </c>
      <c r="K52" t="s">
        <v>272</v>
      </c>
      <c r="L52" t="s">
        <v>273</v>
      </c>
      <c r="M52" t="s">
        <v>108</v>
      </c>
      <c r="N52" t="s">
        <v>72</v>
      </c>
      <c r="O52" t="s">
        <v>274</v>
      </c>
      <c r="P52" t="str">
        <f>VLOOKUP(O52,Sheet3!$A$1:$B$22,2,0)</f>
        <v>Review Analysis</v>
      </c>
      <c r="Q52" t="s">
        <v>110</v>
      </c>
      <c r="R52" t="s">
        <v>75</v>
      </c>
      <c r="S52" t="s">
        <v>75</v>
      </c>
      <c r="T52" t="s">
        <v>75</v>
      </c>
      <c r="U52" t="s">
        <v>75</v>
      </c>
      <c r="V52" t="s">
        <v>76</v>
      </c>
      <c r="W52" t="s">
        <v>75</v>
      </c>
      <c r="X52" t="s">
        <v>111</v>
      </c>
      <c r="Y52" t="s">
        <v>111</v>
      </c>
      <c r="Z52" t="s">
        <v>77</v>
      </c>
      <c r="AA52" t="s">
        <v>112</v>
      </c>
      <c r="AB52" t="s">
        <v>110</v>
      </c>
      <c r="AC52" t="s">
        <v>113</v>
      </c>
      <c r="AD52" t="s">
        <v>112</v>
      </c>
      <c r="AE52" t="s">
        <v>79</v>
      </c>
      <c r="AF52" t="s">
        <v>75</v>
      </c>
      <c r="AG52" t="s">
        <v>276</v>
      </c>
      <c r="AH52" t="s">
        <v>76</v>
      </c>
      <c r="AI52" t="s">
        <v>75</v>
      </c>
      <c r="AJ52" t="s">
        <v>196</v>
      </c>
      <c r="AK52" t="s">
        <v>278</v>
      </c>
      <c r="AL52" t="s">
        <v>239</v>
      </c>
      <c r="AM52" t="s">
        <v>83</v>
      </c>
      <c r="AN52">
        <v>480</v>
      </c>
      <c r="AO52">
        <v>80</v>
      </c>
      <c r="AP52">
        <v>80</v>
      </c>
      <c r="AQ52" t="s">
        <v>84</v>
      </c>
      <c r="AR52" t="s">
        <v>84</v>
      </c>
      <c r="AS52" t="s">
        <v>85</v>
      </c>
      <c r="AT52" t="s">
        <v>75</v>
      </c>
      <c r="AU52" t="s">
        <v>76</v>
      </c>
      <c r="AV52">
        <v>0.27600000000000002</v>
      </c>
      <c r="AW52">
        <v>0.39600000000000002</v>
      </c>
      <c r="AX52">
        <v>0.33700000000000002</v>
      </c>
      <c r="AY52">
        <v>-0.27600000000000002</v>
      </c>
      <c r="AZ52">
        <v>-0.39600000000000002</v>
      </c>
      <c r="BA52">
        <v>-0.33700000000000002</v>
      </c>
      <c r="BB52" t="s">
        <v>79</v>
      </c>
      <c r="BC52">
        <v>-0.27600000000000002</v>
      </c>
      <c r="BD52">
        <v>-0.39600000000000002</v>
      </c>
      <c r="BE52">
        <v>0</v>
      </c>
      <c r="BF52">
        <v>0.122</v>
      </c>
      <c r="BG52">
        <v>0</v>
      </c>
      <c r="BH52">
        <v>0.1</v>
      </c>
      <c r="BI52">
        <v>0.122</v>
      </c>
      <c r="BJ52">
        <v>0</v>
      </c>
      <c r="BK52" t="s">
        <v>76</v>
      </c>
      <c r="BL52" t="s">
        <v>286</v>
      </c>
    </row>
    <row r="53" spans="1:64" x14ac:dyDescent="0.55000000000000004">
      <c r="A53" t="s">
        <v>268</v>
      </c>
      <c r="B53">
        <v>43</v>
      </c>
      <c r="C53">
        <v>1</v>
      </c>
      <c r="D53">
        <v>2</v>
      </c>
      <c r="E53">
        <v>3</v>
      </c>
      <c r="F53">
        <v>43.1</v>
      </c>
      <c r="G53" t="s">
        <v>287</v>
      </c>
      <c r="H53" t="s">
        <v>270</v>
      </c>
      <c r="I53" t="s">
        <v>271</v>
      </c>
      <c r="J53">
        <v>2020</v>
      </c>
      <c r="K53" t="s">
        <v>272</v>
      </c>
      <c r="L53" t="s">
        <v>273</v>
      </c>
      <c r="M53" t="s">
        <v>108</v>
      </c>
      <c r="N53" t="s">
        <v>72</v>
      </c>
      <c r="O53" t="s">
        <v>274</v>
      </c>
      <c r="P53" t="str">
        <f>VLOOKUP(O53,Sheet3!$A$1:$B$22,2,0)</f>
        <v>Review Analysis</v>
      </c>
      <c r="Q53" t="s">
        <v>110</v>
      </c>
      <c r="R53" t="s">
        <v>75</v>
      </c>
      <c r="S53" t="s">
        <v>75</v>
      </c>
      <c r="T53" t="s">
        <v>75</v>
      </c>
      <c r="U53" t="s">
        <v>75</v>
      </c>
      <c r="V53" t="s">
        <v>76</v>
      </c>
      <c r="W53" t="s">
        <v>75</v>
      </c>
      <c r="X53" t="s">
        <v>111</v>
      </c>
      <c r="Y53" t="s">
        <v>111</v>
      </c>
      <c r="Z53" t="s">
        <v>77</v>
      </c>
      <c r="AA53" t="s">
        <v>112</v>
      </c>
      <c r="AB53" t="s">
        <v>110</v>
      </c>
      <c r="AC53" t="s">
        <v>113</v>
      </c>
      <c r="AD53" t="s">
        <v>112</v>
      </c>
      <c r="AE53" t="s">
        <v>79</v>
      </c>
      <c r="AF53" t="s">
        <v>75</v>
      </c>
      <c r="AG53" t="s">
        <v>276</v>
      </c>
      <c r="AH53" t="s">
        <v>76</v>
      </c>
      <c r="AI53" t="s">
        <v>75</v>
      </c>
      <c r="AJ53" t="s">
        <v>196</v>
      </c>
      <c r="AK53" t="s">
        <v>281</v>
      </c>
      <c r="AL53" t="s">
        <v>239</v>
      </c>
      <c r="AM53" t="s">
        <v>83</v>
      </c>
      <c r="AN53">
        <v>480</v>
      </c>
      <c r="AO53">
        <v>80</v>
      </c>
      <c r="AP53">
        <v>80</v>
      </c>
      <c r="AQ53" t="s">
        <v>84</v>
      </c>
      <c r="AR53" t="s">
        <v>84</v>
      </c>
      <c r="AS53" t="s">
        <v>85</v>
      </c>
      <c r="AT53" t="s">
        <v>75</v>
      </c>
      <c r="AU53" t="s">
        <v>76</v>
      </c>
      <c r="AV53">
        <v>0.17899999999999999</v>
      </c>
      <c r="AW53">
        <v>0.22900000000000001</v>
      </c>
      <c r="AX53">
        <v>0.13900000000000001</v>
      </c>
      <c r="AY53">
        <v>-0.17899999999999999</v>
      </c>
      <c r="AZ53">
        <v>-0.22900000000000001</v>
      </c>
      <c r="BA53">
        <v>-0.13900000000000001</v>
      </c>
      <c r="BB53" t="s">
        <v>79</v>
      </c>
      <c r="BC53">
        <v>-0.17899999999999999</v>
      </c>
      <c r="BD53">
        <v>-0.22900000000000001</v>
      </c>
      <c r="BE53">
        <v>1</v>
      </c>
      <c r="BF53">
        <v>9.6000000000000002E-2</v>
      </c>
      <c r="BG53">
        <v>0</v>
      </c>
      <c r="BH53">
        <v>9.5799999999999996E-2</v>
      </c>
      <c r="BI53">
        <v>9.6000000000000002E-2</v>
      </c>
      <c r="BJ53">
        <v>0</v>
      </c>
      <c r="BK53" t="s">
        <v>76</v>
      </c>
      <c r="BL53" t="s">
        <v>288</v>
      </c>
    </row>
    <row r="54" spans="1:64" x14ac:dyDescent="0.55000000000000004">
      <c r="A54" t="s">
        <v>268</v>
      </c>
      <c r="B54">
        <v>43</v>
      </c>
      <c r="C54">
        <v>1</v>
      </c>
      <c r="D54">
        <v>3</v>
      </c>
      <c r="E54">
        <v>1</v>
      </c>
      <c r="F54">
        <v>43.1</v>
      </c>
      <c r="G54" t="s">
        <v>289</v>
      </c>
      <c r="H54" t="s">
        <v>270</v>
      </c>
      <c r="I54" t="s">
        <v>271</v>
      </c>
      <c r="J54">
        <v>2020</v>
      </c>
      <c r="K54" t="s">
        <v>272</v>
      </c>
      <c r="L54" t="s">
        <v>273</v>
      </c>
      <c r="M54" t="s">
        <v>108</v>
      </c>
      <c r="N54" t="s">
        <v>72</v>
      </c>
      <c r="O54" t="s">
        <v>274</v>
      </c>
      <c r="P54" t="str">
        <f>VLOOKUP(O54,Sheet3!$A$1:$B$22,2,0)</f>
        <v>Review Analysis</v>
      </c>
      <c r="Q54" t="s">
        <v>110</v>
      </c>
      <c r="R54" t="s">
        <v>75</v>
      </c>
      <c r="S54" t="s">
        <v>75</v>
      </c>
      <c r="T54" t="s">
        <v>75</v>
      </c>
      <c r="U54" t="s">
        <v>75</v>
      </c>
      <c r="V54" t="s">
        <v>76</v>
      </c>
      <c r="W54" t="s">
        <v>75</v>
      </c>
      <c r="X54" t="s">
        <v>111</v>
      </c>
      <c r="Y54" t="s">
        <v>111</v>
      </c>
      <c r="Z54" t="s">
        <v>77</v>
      </c>
      <c r="AA54" t="s">
        <v>112</v>
      </c>
      <c r="AB54" t="s">
        <v>110</v>
      </c>
      <c r="AC54" t="s">
        <v>113</v>
      </c>
      <c r="AD54" t="s">
        <v>112</v>
      </c>
      <c r="AE54" t="s">
        <v>79</v>
      </c>
      <c r="AF54" t="s">
        <v>75</v>
      </c>
      <c r="AG54" t="s">
        <v>279</v>
      </c>
      <c r="AH54" t="s">
        <v>76</v>
      </c>
      <c r="AI54" t="s">
        <v>75</v>
      </c>
      <c r="AJ54" t="s">
        <v>196</v>
      </c>
      <c r="AK54" t="s">
        <v>115</v>
      </c>
      <c r="AL54" t="s">
        <v>115</v>
      </c>
      <c r="AM54" t="s">
        <v>116</v>
      </c>
      <c r="AN54">
        <v>480</v>
      </c>
      <c r="AO54">
        <v>80</v>
      </c>
      <c r="AP54">
        <v>80</v>
      </c>
      <c r="AQ54" t="s">
        <v>84</v>
      </c>
      <c r="AR54" t="s">
        <v>84</v>
      </c>
      <c r="AS54" t="s">
        <v>85</v>
      </c>
      <c r="AT54" t="s">
        <v>75</v>
      </c>
      <c r="AU54" t="s">
        <v>76</v>
      </c>
      <c r="AV54">
        <v>0.54400000000000004</v>
      </c>
      <c r="AW54">
        <v>0.375</v>
      </c>
      <c r="AX54">
        <v>0.52600000000000002</v>
      </c>
      <c r="AY54">
        <v>0.54400000000000004</v>
      </c>
      <c r="AZ54">
        <v>0.375</v>
      </c>
      <c r="BA54">
        <v>0.52600000000000002</v>
      </c>
      <c r="BB54" t="s">
        <v>79</v>
      </c>
      <c r="BC54">
        <v>0.54400000000000004</v>
      </c>
      <c r="BD54">
        <v>0.375</v>
      </c>
      <c r="BE54">
        <v>0</v>
      </c>
      <c r="BF54">
        <v>0.115</v>
      </c>
      <c r="BG54">
        <v>0</v>
      </c>
      <c r="BH54">
        <v>0.1079</v>
      </c>
      <c r="BI54">
        <v>0.115</v>
      </c>
      <c r="BJ54">
        <v>0</v>
      </c>
      <c r="BK54" t="s">
        <v>76</v>
      </c>
      <c r="BL54" t="s">
        <v>290</v>
      </c>
    </row>
    <row r="55" spans="1:64" x14ac:dyDescent="0.55000000000000004">
      <c r="A55" t="s">
        <v>268</v>
      </c>
      <c r="B55">
        <v>43</v>
      </c>
      <c r="C55">
        <v>1</v>
      </c>
      <c r="D55">
        <v>3</v>
      </c>
      <c r="E55">
        <v>2</v>
      </c>
      <c r="F55">
        <v>43.1</v>
      </c>
      <c r="G55" t="s">
        <v>291</v>
      </c>
      <c r="H55" t="s">
        <v>270</v>
      </c>
      <c r="I55" t="s">
        <v>271</v>
      </c>
      <c r="J55">
        <v>2020</v>
      </c>
      <c r="K55" t="s">
        <v>272</v>
      </c>
      <c r="L55" t="s">
        <v>273</v>
      </c>
      <c r="M55" t="s">
        <v>108</v>
      </c>
      <c r="N55" t="s">
        <v>72</v>
      </c>
      <c r="O55" t="s">
        <v>274</v>
      </c>
      <c r="P55" t="str">
        <f>VLOOKUP(O55,Sheet3!$A$1:$B$22,2,0)</f>
        <v>Review Analysis</v>
      </c>
      <c r="Q55" t="s">
        <v>110</v>
      </c>
      <c r="R55" t="s">
        <v>75</v>
      </c>
      <c r="S55" t="s">
        <v>75</v>
      </c>
      <c r="T55" t="s">
        <v>75</v>
      </c>
      <c r="U55" t="s">
        <v>75</v>
      </c>
      <c r="V55" t="s">
        <v>76</v>
      </c>
      <c r="W55" t="s">
        <v>75</v>
      </c>
      <c r="X55" t="s">
        <v>111</v>
      </c>
      <c r="Y55" t="s">
        <v>111</v>
      </c>
      <c r="Z55" t="s">
        <v>77</v>
      </c>
      <c r="AA55" t="s">
        <v>112</v>
      </c>
      <c r="AB55" t="s">
        <v>110</v>
      </c>
      <c r="AC55" t="s">
        <v>113</v>
      </c>
      <c r="AD55" t="s">
        <v>112</v>
      </c>
      <c r="AE55" t="s">
        <v>79</v>
      </c>
      <c r="AF55" t="s">
        <v>75</v>
      </c>
      <c r="AG55" t="s">
        <v>279</v>
      </c>
      <c r="AH55" t="s">
        <v>76</v>
      </c>
      <c r="AI55" t="s">
        <v>75</v>
      </c>
      <c r="AJ55" t="s">
        <v>196</v>
      </c>
      <c r="AK55" t="s">
        <v>278</v>
      </c>
      <c r="AL55" t="s">
        <v>239</v>
      </c>
      <c r="AM55" t="s">
        <v>83</v>
      </c>
      <c r="AN55">
        <v>480</v>
      </c>
      <c r="AO55">
        <v>80</v>
      </c>
      <c r="AP55">
        <v>80</v>
      </c>
      <c r="AQ55" t="s">
        <v>84</v>
      </c>
      <c r="AR55" t="s">
        <v>84</v>
      </c>
      <c r="AS55" t="s">
        <v>85</v>
      </c>
      <c r="AT55" t="s">
        <v>75</v>
      </c>
      <c r="AU55" t="s">
        <v>76</v>
      </c>
      <c r="AV55">
        <v>0.27600000000000002</v>
      </c>
      <c r="AW55">
        <v>0.39600000000000002</v>
      </c>
      <c r="AX55">
        <v>0.35699999999999998</v>
      </c>
      <c r="AY55">
        <v>-0.27600000000000002</v>
      </c>
      <c r="AZ55">
        <v>-0.39600000000000002</v>
      </c>
      <c r="BA55">
        <v>-0.35699999999999998</v>
      </c>
      <c r="BB55" t="s">
        <v>79</v>
      </c>
      <c r="BC55">
        <v>-0.27600000000000002</v>
      </c>
      <c r="BD55">
        <v>-0.39600000000000002</v>
      </c>
      <c r="BE55">
        <v>0</v>
      </c>
      <c r="BF55">
        <v>0.122</v>
      </c>
      <c r="BG55">
        <v>0</v>
      </c>
      <c r="BH55">
        <v>0.1177</v>
      </c>
      <c r="BI55">
        <v>0.122</v>
      </c>
      <c r="BJ55">
        <v>0</v>
      </c>
      <c r="BK55" t="s">
        <v>76</v>
      </c>
      <c r="BL55" t="s">
        <v>292</v>
      </c>
    </row>
    <row r="56" spans="1:64" x14ac:dyDescent="0.55000000000000004">
      <c r="A56" t="s">
        <v>268</v>
      </c>
      <c r="B56">
        <v>43</v>
      </c>
      <c r="C56">
        <v>1</v>
      </c>
      <c r="D56">
        <v>3</v>
      </c>
      <c r="E56">
        <v>3</v>
      </c>
      <c r="F56">
        <v>43.1</v>
      </c>
      <c r="G56" t="s">
        <v>293</v>
      </c>
      <c r="H56" t="s">
        <v>270</v>
      </c>
      <c r="I56" t="s">
        <v>271</v>
      </c>
      <c r="J56">
        <v>2020</v>
      </c>
      <c r="K56" t="s">
        <v>272</v>
      </c>
      <c r="L56" t="s">
        <v>273</v>
      </c>
      <c r="M56" t="s">
        <v>108</v>
      </c>
      <c r="N56" t="s">
        <v>72</v>
      </c>
      <c r="O56" t="s">
        <v>274</v>
      </c>
      <c r="P56" t="str">
        <f>VLOOKUP(O56,Sheet3!$A$1:$B$22,2,0)</f>
        <v>Review Analysis</v>
      </c>
      <c r="Q56" t="s">
        <v>110</v>
      </c>
      <c r="R56" t="s">
        <v>75</v>
      </c>
      <c r="S56" t="s">
        <v>75</v>
      </c>
      <c r="T56" t="s">
        <v>75</v>
      </c>
      <c r="U56" t="s">
        <v>75</v>
      </c>
      <c r="V56" t="s">
        <v>76</v>
      </c>
      <c r="W56" t="s">
        <v>75</v>
      </c>
      <c r="X56" t="s">
        <v>111</v>
      </c>
      <c r="Y56" t="s">
        <v>111</v>
      </c>
      <c r="Z56" t="s">
        <v>77</v>
      </c>
      <c r="AA56" t="s">
        <v>112</v>
      </c>
      <c r="AB56" t="s">
        <v>110</v>
      </c>
      <c r="AC56" t="s">
        <v>113</v>
      </c>
      <c r="AD56" t="s">
        <v>112</v>
      </c>
      <c r="AE56" t="s">
        <v>79</v>
      </c>
      <c r="AF56" t="s">
        <v>75</v>
      </c>
      <c r="AG56" t="s">
        <v>279</v>
      </c>
      <c r="AH56" t="s">
        <v>76</v>
      </c>
      <c r="AI56" t="s">
        <v>75</v>
      </c>
      <c r="AJ56" t="s">
        <v>196</v>
      </c>
      <c r="AK56" t="s">
        <v>281</v>
      </c>
      <c r="AL56" t="s">
        <v>239</v>
      </c>
      <c r="AM56" t="s">
        <v>83</v>
      </c>
      <c r="AN56">
        <v>480</v>
      </c>
      <c r="AO56">
        <v>80</v>
      </c>
      <c r="AP56">
        <v>80</v>
      </c>
      <c r="AQ56" t="s">
        <v>84</v>
      </c>
      <c r="AR56" t="s">
        <v>84</v>
      </c>
      <c r="AS56" t="s">
        <v>85</v>
      </c>
      <c r="AT56" t="s">
        <v>75</v>
      </c>
      <c r="AU56" t="s">
        <v>76</v>
      </c>
      <c r="AV56">
        <v>0.17899999999999999</v>
      </c>
      <c r="AW56">
        <v>0.22900000000000001</v>
      </c>
      <c r="AX56">
        <v>0.11600000000000001</v>
      </c>
      <c r="AY56">
        <v>-0.17899999999999999</v>
      </c>
      <c r="AZ56">
        <v>-0.22900000000000001</v>
      </c>
      <c r="BA56">
        <v>-0.11600000000000001</v>
      </c>
      <c r="BB56" t="s">
        <v>79</v>
      </c>
      <c r="BC56">
        <v>-0.17899999999999999</v>
      </c>
      <c r="BD56">
        <v>-0.22900000000000001</v>
      </c>
      <c r="BE56">
        <v>1</v>
      </c>
      <c r="BF56">
        <v>9.6000000000000002E-2</v>
      </c>
      <c r="BG56">
        <v>0</v>
      </c>
      <c r="BH56">
        <v>7.9100000000000004E-2</v>
      </c>
      <c r="BI56">
        <v>9.6000000000000002E-2</v>
      </c>
      <c r="BJ56">
        <v>0</v>
      </c>
      <c r="BK56" t="s">
        <v>76</v>
      </c>
      <c r="BL56" t="s">
        <v>294</v>
      </c>
    </row>
    <row r="57" spans="1:64" x14ac:dyDescent="0.55000000000000004">
      <c r="A57" t="s">
        <v>268</v>
      </c>
      <c r="B57">
        <v>43</v>
      </c>
      <c r="C57">
        <v>1</v>
      </c>
      <c r="D57">
        <v>4</v>
      </c>
      <c r="E57">
        <v>1</v>
      </c>
      <c r="F57">
        <v>43.1</v>
      </c>
      <c r="G57" t="s">
        <v>295</v>
      </c>
      <c r="H57" t="s">
        <v>270</v>
      </c>
      <c r="I57" t="s">
        <v>271</v>
      </c>
      <c r="J57">
        <v>2020</v>
      </c>
      <c r="K57" t="s">
        <v>272</v>
      </c>
      <c r="L57" t="s">
        <v>273</v>
      </c>
      <c r="M57" t="s">
        <v>108</v>
      </c>
      <c r="N57" t="s">
        <v>72</v>
      </c>
      <c r="O57" t="s">
        <v>274</v>
      </c>
      <c r="P57" t="str">
        <f>VLOOKUP(O57,Sheet3!$A$1:$B$22,2,0)</f>
        <v>Review Analysis</v>
      </c>
      <c r="Q57" t="s">
        <v>110</v>
      </c>
      <c r="R57" t="s">
        <v>75</v>
      </c>
      <c r="S57" t="s">
        <v>75</v>
      </c>
      <c r="T57" t="s">
        <v>75</v>
      </c>
      <c r="U57" t="s">
        <v>75</v>
      </c>
      <c r="V57" t="s">
        <v>76</v>
      </c>
      <c r="W57" t="s">
        <v>75</v>
      </c>
      <c r="X57" t="s">
        <v>111</v>
      </c>
      <c r="Y57" t="s">
        <v>111</v>
      </c>
      <c r="Z57" t="s">
        <v>77</v>
      </c>
      <c r="AA57" t="s">
        <v>112</v>
      </c>
      <c r="AB57" t="s">
        <v>110</v>
      </c>
      <c r="AC57" t="s">
        <v>113</v>
      </c>
      <c r="AD57" t="s">
        <v>112</v>
      </c>
      <c r="AE57" t="s">
        <v>79</v>
      </c>
      <c r="AF57" t="s">
        <v>75</v>
      </c>
      <c r="AG57" t="s">
        <v>282</v>
      </c>
      <c r="AH57" t="s">
        <v>76</v>
      </c>
      <c r="AI57" t="s">
        <v>75</v>
      </c>
      <c r="AJ57" t="s">
        <v>196</v>
      </c>
      <c r="AK57" t="s">
        <v>115</v>
      </c>
      <c r="AL57" t="s">
        <v>115</v>
      </c>
      <c r="AM57" t="s">
        <v>116</v>
      </c>
      <c r="AN57">
        <v>480</v>
      </c>
      <c r="AO57">
        <v>80</v>
      </c>
      <c r="AP57">
        <v>80</v>
      </c>
      <c r="AQ57" t="s">
        <v>84</v>
      </c>
      <c r="AR57" t="s">
        <v>84</v>
      </c>
      <c r="AS57" t="s">
        <v>85</v>
      </c>
      <c r="AT57" t="s">
        <v>75</v>
      </c>
      <c r="AU57" t="s">
        <v>76</v>
      </c>
      <c r="AV57">
        <v>0.54400000000000004</v>
      </c>
      <c r="AW57">
        <v>0.375</v>
      </c>
      <c r="AX57">
        <v>0.51800000000000002</v>
      </c>
      <c r="AY57">
        <v>0.54400000000000004</v>
      </c>
      <c r="AZ57">
        <v>0.375</v>
      </c>
      <c r="BA57">
        <v>0.51800000000000002</v>
      </c>
      <c r="BB57" t="s">
        <v>79</v>
      </c>
      <c r="BC57">
        <v>0.54400000000000004</v>
      </c>
      <c r="BD57">
        <v>0.375</v>
      </c>
      <c r="BE57">
        <v>0</v>
      </c>
      <c r="BF57">
        <v>0.115</v>
      </c>
      <c r="BG57">
        <v>0</v>
      </c>
      <c r="BH57">
        <v>0.1065</v>
      </c>
      <c r="BI57">
        <v>0.115</v>
      </c>
      <c r="BJ57">
        <v>0</v>
      </c>
      <c r="BK57" t="s">
        <v>76</v>
      </c>
      <c r="BL57" t="s">
        <v>296</v>
      </c>
    </row>
    <row r="58" spans="1:64" x14ac:dyDescent="0.55000000000000004">
      <c r="A58" t="s">
        <v>268</v>
      </c>
      <c r="B58">
        <v>43</v>
      </c>
      <c r="C58">
        <v>1</v>
      </c>
      <c r="D58">
        <v>4</v>
      </c>
      <c r="E58">
        <v>2</v>
      </c>
      <c r="F58">
        <v>43.1</v>
      </c>
      <c r="G58" t="s">
        <v>297</v>
      </c>
      <c r="H58" t="s">
        <v>270</v>
      </c>
      <c r="I58" t="s">
        <v>271</v>
      </c>
      <c r="J58">
        <v>2020</v>
      </c>
      <c r="K58" t="s">
        <v>272</v>
      </c>
      <c r="L58" t="s">
        <v>273</v>
      </c>
      <c r="M58" t="s">
        <v>108</v>
      </c>
      <c r="N58" t="s">
        <v>72</v>
      </c>
      <c r="O58" t="s">
        <v>274</v>
      </c>
      <c r="P58" t="str">
        <f>VLOOKUP(O58,Sheet3!$A$1:$B$22,2,0)</f>
        <v>Review Analysis</v>
      </c>
      <c r="Q58" t="s">
        <v>110</v>
      </c>
      <c r="R58" t="s">
        <v>75</v>
      </c>
      <c r="S58" t="s">
        <v>75</v>
      </c>
      <c r="T58" t="s">
        <v>75</v>
      </c>
      <c r="U58" t="s">
        <v>75</v>
      </c>
      <c r="V58" t="s">
        <v>76</v>
      </c>
      <c r="W58" t="s">
        <v>75</v>
      </c>
      <c r="X58" t="s">
        <v>111</v>
      </c>
      <c r="Y58" t="s">
        <v>111</v>
      </c>
      <c r="Z58" t="s">
        <v>77</v>
      </c>
      <c r="AA58" t="s">
        <v>112</v>
      </c>
      <c r="AB58" t="s">
        <v>110</v>
      </c>
      <c r="AC58" t="s">
        <v>113</v>
      </c>
      <c r="AD58" t="s">
        <v>112</v>
      </c>
      <c r="AE58" t="s">
        <v>79</v>
      </c>
      <c r="AF58" t="s">
        <v>75</v>
      </c>
      <c r="AG58" t="s">
        <v>282</v>
      </c>
      <c r="AH58" t="s">
        <v>76</v>
      </c>
      <c r="AI58" t="s">
        <v>75</v>
      </c>
      <c r="AJ58" t="s">
        <v>196</v>
      </c>
      <c r="AK58" t="s">
        <v>278</v>
      </c>
      <c r="AL58" t="s">
        <v>239</v>
      </c>
      <c r="AM58" t="s">
        <v>83</v>
      </c>
      <c r="AN58">
        <v>480</v>
      </c>
      <c r="AO58">
        <v>80</v>
      </c>
      <c r="AP58">
        <v>80</v>
      </c>
      <c r="AQ58" t="s">
        <v>84</v>
      </c>
      <c r="AR58" t="s">
        <v>84</v>
      </c>
      <c r="AS58" t="s">
        <v>85</v>
      </c>
      <c r="AT58" t="s">
        <v>75</v>
      </c>
      <c r="AU58" t="s">
        <v>76</v>
      </c>
      <c r="AV58">
        <v>0.27600000000000002</v>
      </c>
      <c r="AW58">
        <v>0.39600000000000002</v>
      </c>
      <c r="AX58">
        <v>0.34599999999999997</v>
      </c>
      <c r="AY58">
        <v>-0.27600000000000002</v>
      </c>
      <c r="AZ58">
        <v>-0.39600000000000002</v>
      </c>
      <c r="BA58">
        <v>-0.34599999999999997</v>
      </c>
      <c r="BB58" t="s">
        <v>79</v>
      </c>
      <c r="BC58">
        <v>-0.27600000000000002</v>
      </c>
      <c r="BD58">
        <v>-0.39600000000000002</v>
      </c>
      <c r="BE58">
        <v>0</v>
      </c>
      <c r="BF58">
        <v>0.122</v>
      </c>
      <c r="BG58">
        <v>0</v>
      </c>
      <c r="BH58">
        <v>0.1164</v>
      </c>
      <c r="BI58">
        <v>0.122</v>
      </c>
      <c r="BJ58">
        <v>0</v>
      </c>
      <c r="BK58" t="s">
        <v>76</v>
      </c>
      <c r="BL58" t="s">
        <v>298</v>
      </c>
    </row>
    <row r="59" spans="1:64" x14ac:dyDescent="0.55000000000000004">
      <c r="A59" t="s">
        <v>268</v>
      </c>
      <c r="B59">
        <v>43</v>
      </c>
      <c r="C59">
        <v>1</v>
      </c>
      <c r="D59">
        <v>4</v>
      </c>
      <c r="E59">
        <v>3</v>
      </c>
      <c r="F59">
        <v>43.1</v>
      </c>
      <c r="G59" t="s">
        <v>299</v>
      </c>
      <c r="H59" t="s">
        <v>270</v>
      </c>
      <c r="I59" t="s">
        <v>271</v>
      </c>
      <c r="J59">
        <v>2020</v>
      </c>
      <c r="K59" t="s">
        <v>272</v>
      </c>
      <c r="L59" t="s">
        <v>273</v>
      </c>
      <c r="M59" t="s">
        <v>108</v>
      </c>
      <c r="N59" t="s">
        <v>72</v>
      </c>
      <c r="O59" t="s">
        <v>274</v>
      </c>
      <c r="P59" t="str">
        <f>VLOOKUP(O59,Sheet3!$A$1:$B$22,2,0)</f>
        <v>Review Analysis</v>
      </c>
      <c r="Q59" t="s">
        <v>110</v>
      </c>
      <c r="R59" t="s">
        <v>75</v>
      </c>
      <c r="S59" t="s">
        <v>75</v>
      </c>
      <c r="T59" t="s">
        <v>75</v>
      </c>
      <c r="U59" t="s">
        <v>75</v>
      </c>
      <c r="V59" t="s">
        <v>76</v>
      </c>
      <c r="W59" t="s">
        <v>75</v>
      </c>
      <c r="X59" t="s">
        <v>111</v>
      </c>
      <c r="Y59" t="s">
        <v>111</v>
      </c>
      <c r="Z59" t="s">
        <v>77</v>
      </c>
      <c r="AA59" t="s">
        <v>112</v>
      </c>
      <c r="AB59" t="s">
        <v>110</v>
      </c>
      <c r="AC59" t="s">
        <v>113</v>
      </c>
      <c r="AD59" t="s">
        <v>112</v>
      </c>
      <c r="AE59" t="s">
        <v>79</v>
      </c>
      <c r="AF59" t="s">
        <v>75</v>
      </c>
      <c r="AG59" t="s">
        <v>282</v>
      </c>
      <c r="AH59" t="s">
        <v>76</v>
      </c>
      <c r="AI59" t="s">
        <v>75</v>
      </c>
      <c r="AJ59" t="s">
        <v>196</v>
      </c>
      <c r="AK59" t="s">
        <v>281</v>
      </c>
      <c r="AL59" t="s">
        <v>239</v>
      </c>
      <c r="AM59" t="s">
        <v>83</v>
      </c>
      <c r="AN59">
        <v>480</v>
      </c>
      <c r="AO59">
        <v>80</v>
      </c>
      <c r="AP59">
        <v>80</v>
      </c>
      <c r="AQ59" t="s">
        <v>84</v>
      </c>
      <c r="AR59" t="s">
        <v>84</v>
      </c>
      <c r="AS59" t="s">
        <v>85</v>
      </c>
      <c r="AT59" t="s">
        <v>75</v>
      </c>
      <c r="AU59" t="s">
        <v>76</v>
      </c>
      <c r="AV59">
        <v>0.17899999999999999</v>
      </c>
      <c r="AW59">
        <v>0.22900000000000001</v>
      </c>
      <c r="AX59">
        <v>0.13500000000000001</v>
      </c>
      <c r="AY59">
        <v>-0.17899999999999999</v>
      </c>
      <c r="AZ59">
        <v>-0.22900000000000001</v>
      </c>
      <c r="BA59">
        <v>-0.13500000000000001</v>
      </c>
      <c r="BB59" t="s">
        <v>79</v>
      </c>
      <c r="BC59">
        <v>-0.17899999999999999</v>
      </c>
      <c r="BD59">
        <v>-0.22900000000000001</v>
      </c>
      <c r="BE59">
        <v>1</v>
      </c>
      <c r="BF59">
        <v>9.6000000000000002E-2</v>
      </c>
      <c r="BG59">
        <v>0</v>
      </c>
      <c r="BH59">
        <v>9.3799999999999994E-2</v>
      </c>
      <c r="BI59">
        <v>9.6000000000000002E-2</v>
      </c>
      <c r="BJ59">
        <v>0</v>
      </c>
      <c r="BK59" t="s">
        <v>76</v>
      </c>
      <c r="BL59" t="s">
        <v>300</v>
      </c>
    </row>
    <row r="60" spans="1:64" x14ac:dyDescent="0.55000000000000004">
      <c r="A60" t="s">
        <v>268</v>
      </c>
      <c r="B60">
        <v>43</v>
      </c>
      <c r="C60">
        <v>1</v>
      </c>
      <c r="D60">
        <v>5</v>
      </c>
      <c r="E60">
        <v>1</v>
      </c>
      <c r="F60">
        <v>43.1</v>
      </c>
      <c r="G60" t="s">
        <v>301</v>
      </c>
      <c r="H60" t="s">
        <v>270</v>
      </c>
      <c r="I60" t="s">
        <v>271</v>
      </c>
      <c r="J60">
        <v>2020</v>
      </c>
      <c r="K60" t="s">
        <v>272</v>
      </c>
      <c r="L60" t="s">
        <v>273</v>
      </c>
      <c r="M60" t="s">
        <v>108</v>
      </c>
      <c r="N60" t="s">
        <v>72</v>
      </c>
      <c r="O60" t="s">
        <v>274</v>
      </c>
      <c r="P60" t="str">
        <f>VLOOKUP(O60,Sheet3!$A$1:$B$22,2,0)</f>
        <v>Review Analysis</v>
      </c>
      <c r="Q60" t="s">
        <v>110</v>
      </c>
      <c r="R60" t="s">
        <v>75</v>
      </c>
      <c r="S60" t="s">
        <v>75</v>
      </c>
      <c r="T60" t="s">
        <v>75</v>
      </c>
      <c r="U60" t="s">
        <v>75</v>
      </c>
      <c r="V60" t="s">
        <v>76</v>
      </c>
      <c r="W60" t="s">
        <v>75</v>
      </c>
      <c r="X60" t="s">
        <v>111</v>
      </c>
      <c r="Y60" t="s">
        <v>111</v>
      </c>
      <c r="Z60" t="s">
        <v>77</v>
      </c>
      <c r="AA60" t="s">
        <v>112</v>
      </c>
      <c r="AB60" t="s">
        <v>110</v>
      </c>
      <c r="AC60" t="s">
        <v>113</v>
      </c>
      <c r="AD60" t="s">
        <v>112</v>
      </c>
      <c r="AE60" t="s">
        <v>79</v>
      </c>
      <c r="AF60" t="s">
        <v>75</v>
      </c>
      <c r="AG60" t="s">
        <v>284</v>
      </c>
      <c r="AH60" t="s">
        <v>76</v>
      </c>
      <c r="AI60" t="s">
        <v>75</v>
      </c>
      <c r="AJ60" t="s">
        <v>196</v>
      </c>
      <c r="AK60" t="s">
        <v>115</v>
      </c>
      <c r="AL60" t="s">
        <v>115</v>
      </c>
      <c r="AM60" t="s">
        <v>116</v>
      </c>
      <c r="AN60">
        <v>480</v>
      </c>
      <c r="AO60">
        <v>80</v>
      </c>
      <c r="AP60">
        <v>80</v>
      </c>
      <c r="AQ60" t="s">
        <v>84</v>
      </c>
      <c r="AR60" t="s">
        <v>84</v>
      </c>
      <c r="AS60" t="s">
        <v>85</v>
      </c>
      <c r="AT60" t="s">
        <v>75</v>
      </c>
      <c r="AU60" t="s">
        <v>76</v>
      </c>
      <c r="AV60">
        <v>0.54400000000000004</v>
      </c>
      <c r="AW60">
        <v>0.375</v>
      </c>
      <c r="AX60">
        <v>0.51400000000000001</v>
      </c>
      <c r="AY60">
        <v>0.54400000000000004</v>
      </c>
      <c r="AZ60">
        <v>0.375</v>
      </c>
      <c r="BA60">
        <v>0.51400000000000001</v>
      </c>
      <c r="BB60" t="s">
        <v>79</v>
      </c>
      <c r="BC60">
        <v>0.54400000000000004</v>
      </c>
      <c r="BD60">
        <v>0.375</v>
      </c>
      <c r="BE60">
        <v>0</v>
      </c>
      <c r="BF60">
        <v>0.115</v>
      </c>
      <c r="BG60">
        <v>0</v>
      </c>
      <c r="BH60">
        <v>0.11600000000000001</v>
      </c>
      <c r="BI60">
        <v>0.115</v>
      </c>
      <c r="BJ60">
        <v>0</v>
      </c>
      <c r="BK60" t="s">
        <v>76</v>
      </c>
      <c r="BL60" t="s">
        <v>302</v>
      </c>
    </row>
    <row r="61" spans="1:64" x14ac:dyDescent="0.55000000000000004">
      <c r="A61" t="s">
        <v>268</v>
      </c>
      <c r="B61">
        <v>43</v>
      </c>
      <c r="C61">
        <v>1</v>
      </c>
      <c r="D61">
        <v>5</v>
      </c>
      <c r="E61">
        <v>2</v>
      </c>
      <c r="F61">
        <v>43.1</v>
      </c>
      <c r="G61" t="s">
        <v>303</v>
      </c>
      <c r="H61" t="s">
        <v>270</v>
      </c>
      <c r="I61" t="s">
        <v>271</v>
      </c>
      <c r="J61">
        <v>2020</v>
      </c>
      <c r="K61" t="s">
        <v>272</v>
      </c>
      <c r="L61" t="s">
        <v>273</v>
      </c>
      <c r="M61" t="s">
        <v>108</v>
      </c>
      <c r="N61" t="s">
        <v>72</v>
      </c>
      <c r="O61" t="s">
        <v>274</v>
      </c>
      <c r="P61" t="str">
        <f>VLOOKUP(O61,Sheet3!$A$1:$B$22,2,0)</f>
        <v>Review Analysis</v>
      </c>
      <c r="Q61" t="s">
        <v>110</v>
      </c>
      <c r="R61" t="s">
        <v>75</v>
      </c>
      <c r="S61" t="s">
        <v>75</v>
      </c>
      <c r="T61" t="s">
        <v>75</v>
      </c>
      <c r="U61" t="s">
        <v>75</v>
      </c>
      <c r="V61" t="s">
        <v>76</v>
      </c>
      <c r="W61" t="s">
        <v>75</v>
      </c>
      <c r="X61" t="s">
        <v>111</v>
      </c>
      <c r="Y61" t="s">
        <v>111</v>
      </c>
      <c r="Z61" t="s">
        <v>77</v>
      </c>
      <c r="AA61" t="s">
        <v>112</v>
      </c>
      <c r="AB61" t="s">
        <v>110</v>
      </c>
      <c r="AC61" t="s">
        <v>113</v>
      </c>
      <c r="AD61" t="s">
        <v>112</v>
      </c>
      <c r="AE61" t="s">
        <v>79</v>
      </c>
      <c r="AF61" t="s">
        <v>75</v>
      </c>
      <c r="AG61" t="s">
        <v>284</v>
      </c>
      <c r="AH61" t="s">
        <v>76</v>
      </c>
      <c r="AI61" t="s">
        <v>75</v>
      </c>
      <c r="AJ61" t="s">
        <v>196</v>
      </c>
      <c r="AK61" t="s">
        <v>278</v>
      </c>
      <c r="AL61" t="s">
        <v>239</v>
      </c>
      <c r="AM61" t="s">
        <v>83</v>
      </c>
      <c r="AN61">
        <v>480</v>
      </c>
      <c r="AO61">
        <v>80</v>
      </c>
      <c r="AP61">
        <v>80</v>
      </c>
      <c r="AQ61" t="s">
        <v>84</v>
      </c>
      <c r="AR61" t="s">
        <v>84</v>
      </c>
      <c r="AS61" t="s">
        <v>85</v>
      </c>
      <c r="AT61" t="s">
        <v>75</v>
      </c>
      <c r="AU61" t="s">
        <v>76</v>
      </c>
      <c r="AV61">
        <v>0.27600000000000002</v>
      </c>
      <c r="AW61">
        <v>0.39600000000000002</v>
      </c>
      <c r="AX61">
        <v>0.35299999999999998</v>
      </c>
      <c r="AY61">
        <v>-0.27600000000000002</v>
      </c>
      <c r="AZ61">
        <v>-0.39600000000000002</v>
      </c>
      <c r="BA61">
        <v>-0.35299999999999998</v>
      </c>
      <c r="BB61" t="s">
        <v>79</v>
      </c>
      <c r="BC61">
        <v>-0.27600000000000002</v>
      </c>
      <c r="BD61">
        <v>-0.39600000000000002</v>
      </c>
      <c r="BE61">
        <v>0</v>
      </c>
      <c r="BF61">
        <v>0.122</v>
      </c>
      <c r="BG61">
        <v>0</v>
      </c>
      <c r="BH61">
        <v>0.13</v>
      </c>
      <c r="BI61">
        <v>0.122</v>
      </c>
      <c r="BJ61">
        <v>0</v>
      </c>
      <c r="BK61" t="s">
        <v>76</v>
      </c>
      <c r="BL61" t="s">
        <v>302</v>
      </c>
    </row>
    <row r="62" spans="1:64" x14ac:dyDescent="0.55000000000000004">
      <c r="A62" t="s">
        <v>268</v>
      </c>
      <c r="B62">
        <v>43</v>
      </c>
      <c r="C62">
        <v>1</v>
      </c>
      <c r="D62">
        <v>5</v>
      </c>
      <c r="E62">
        <v>3</v>
      </c>
      <c r="F62">
        <v>43.1</v>
      </c>
      <c r="G62" t="s">
        <v>304</v>
      </c>
      <c r="H62" t="s">
        <v>270</v>
      </c>
      <c r="I62" t="s">
        <v>271</v>
      </c>
      <c r="J62">
        <v>2020</v>
      </c>
      <c r="K62" t="s">
        <v>272</v>
      </c>
      <c r="L62" t="s">
        <v>273</v>
      </c>
      <c r="M62" t="s">
        <v>108</v>
      </c>
      <c r="N62" t="s">
        <v>72</v>
      </c>
      <c r="O62" t="s">
        <v>274</v>
      </c>
      <c r="P62" t="str">
        <f>VLOOKUP(O62,Sheet3!$A$1:$B$22,2,0)</f>
        <v>Review Analysis</v>
      </c>
      <c r="Q62" t="s">
        <v>110</v>
      </c>
      <c r="R62" t="s">
        <v>75</v>
      </c>
      <c r="S62" t="s">
        <v>75</v>
      </c>
      <c r="T62" t="s">
        <v>75</v>
      </c>
      <c r="U62" t="s">
        <v>75</v>
      </c>
      <c r="V62" t="s">
        <v>76</v>
      </c>
      <c r="W62" t="s">
        <v>75</v>
      </c>
      <c r="X62" t="s">
        <v>111</v>
      </c>
      <c r="Y62" t="s">
        <v>111</v>
      </c>
      <c r="Z62" t="s">
        <v>77</v>
      </c>
      <c r="AA62" t="s">
        <v>112</v>
      </c>
      <c r="AB62" t="s">
        <v>110</v>
      </c>
      <c r="AC62" t="s">
        <v>113</v>
      </c>
      <c r="AD62" t="s">
        <v>112</v>
      </c>
      <c r="AE62" t="s">
        <v>79</v>
      </c>
      <c r="AF62" t="s">
        <v>75</v>
      </c>
      <c r="AG62" t="s">
        <v>284</v>
      </c>
      <c r="AH62" t="s">
        <v>76</v>
      </c>
      <c r="AI62" t="s">
        <v>75</v>
      </c>
      <c r="AJ62" t="s">
        <v>196</v>
      </c>
      <c r="AK62" t="s">
        <v>281</v>
      </c>
      <c r="AL62" t="s">
        <v>239</v>
      </c>
      <c r="AM62" t="s">
        <v>83</v>
      </c>
      <c r="AN62">
        <v>480</v>
      </c>
      <c r="AO62">
        <v>80</v>
      </c>
      <c r="AP62">
        <v>80</v>
      </c>
      <c r="AQ62" t="s">
        <v>84</v>
      </c>
      <c r="AR62" t="s">
        <v>84</v>
      </c>
      <c r="AS62" t="s">
        <v>85</v>
      </c>
      <c r="AT62" t="s">
        <v>75</v>
      </c>
      <c r="AU62" t="s">
        <v>76</v>
      </c>
      <c r="AV62">
        <v>0.17899999999999999</v>
      </c>
      <c r="AW62">
        <v>0.22900000000000001</v>
      </c>
      <c r="AX62">
        <v>0.13300000000000001</v>
      </c>
      <c r="AY62">
        <v>-0.17899999999999999</v>
      </c>
      <c r="AZ62">
        <v>-0.22900000000000001</v>
      </c>
      <c r="BA62">
        <v>-0.13300000000000001</v>
      </c>
      <c r="BB62" t="s">
        <v>79</v>
      </c>
      <c r="BC62">
        <v>-0.17899999999999999</v>
      </c>
      <c r="BD62">
        <v>-0.22900000000000001</v>
      </c>
      <c r="BE62">
        <v>1</v>
      </c>
      <c r="BF62">
        <v>9.6000000000000002E-2</v>
      </c>
      <c r="BG62">
        <v>0</v>
      </c>
      <c r="BH62">
        <v>0.10290000000000001</v>
      </c>
      <c r="BI62">
        <v>9.6000000000000002E-2</v>
      </c>
      <c r="BJ62">
        <v>0</v>
      </c>
      <c r="BK62" t="s">
        <v>76</v>
      </c>
      <c r="BL62" t="s">
        <v>302</v>
      </c>
    </row>
    <row r="63" spans="1:64" x14ac:dyDescent="0.55000000000000004">
      <c r="A63" t="s">
        <v>305</v>
      </c>
      <c r="B63">
        <v>1</v>
      </c>
      <c r="C63">
        <v>1</v>
      </c>
      <c r="D63">
        <v>1</v>
      </c>
      <c r="E63">
        <v>1</v>
      </c>
      <c r="F63">
        <v>1.1000000000000001</v>
      </c>
      <c r="G63" t="s">
        <v>306</v>
      </c>
      <c r="H63" t="s">
        <v>307</v>
      </c>
      <c r="I63" t="s">
        <v>308</v>
      </c>
      <c r="J63">
        <v>2020</v>
      </c>
      <c r="K63" t="s">
        <v>272</v>
      </c>
      <c r="L63" t="s">
        <v>309</v>
      </c>
      <c r="M63" t="s">
        <v>108</v>
      </c>
      <c r="N63" t="s">
        <v>72</v>
      </c>
      <c r="O63" t="s">
        <v>310</v>
      </c>
      <c r="P63" t="str">
        <f>VLOOKUP(O63,Sheet3!$A$1:$B$22,2,0)</f>
        <v>Review Analysis</v>
      </c>
      <c r="Q63" t="s">
        <v>110</v>
      </c>
      <c r="R63" t="s">
        <v>75</v>
      </c>
      <c r="S63" t="s">
        <v>75</v>
      </c>
      <c r="T63" t="s">
        <v>75</v>
      </c>
      <c r="U63" t="s">
        <v>75</v>
      </c>
      <c r="V63" t="s">
        <v>76</v>
      </c>
      <c r="W63" t="s">
        <v>75</v>
      </c>
      <c r="X63" t="s">
        <v>135</v>
      </c>
      <c r="Y63" t="s">
        <v>135</v>
      </c>
      <c r="Z63" t="s">
        <v>77</v>
      </c>
      <c r="AA63" t="s">
        <v>78</v>
      </c>
      <c r="AB63" t="s">
        <v>110</v>
      </c>
      <c r="AC63" t="s">
        <v>110</v>
      </c>
      <c r="AD63" t="s">
        <v>545</v>
      </c>
      <c r="AE63" t="s">
        <v>79</v>
      </c>
      <c r="AF63" t="s">
        <v>75</v>
      </c>
      <c r="AG63" t="s">
        <v>311</v>
      </c>
      <c r="AH63" t="s">
        <v>75</v>
      </c>
      <c r="AI63" t="s">
        <v>75</v>
      </c>
      <c r="AK63" t="s">
        <v>115</v>
      </c>
      <c r="AL63" t="s">
        <v>115</v>
      </c>
      <c r="AM63" t="s">
        <v>116</v>
      </c>
      <c r="AN63">
        <v>480</v>
      </c>
      <c r="AO63">
        <v>80</v>
      </c>
      <c r="AP63">
        <v>80</v>
      </c>
      <c r="AQ63" t="s">
        <v>84</v>
      </c>
      <c r="AR63" t="s">
        <v>84</v>
      </c>
      <c r="AS63" t="s">
        <v>85</v>
      </c>
      <c r="AT63" t="s">
        <v>75</v>
      </c>
      <c r="AU63" t="s">
        <v>76</v>
      </c>
      <c r="AV63">
        <v>0.54600000000000004</v>
      </c>
      <c r="AW63">
        <v>0.86299999999999999</v>
      </c>
      <c r="AX63">
        <v>0.60399999999999998</v>
      </c>
      <c r="AY63">
        <v>0.54600000000000004</v>
      </c>
      <c r="AZ63">
        <v>0.86299999999999999</v>
      </c>
      <c r="BA63">
        <v>0.60399999999999998</v>
      </c>
      <c r="BB63" t="s">
        <v>86</v>
      </c>
      <c r="BC63">
        <v>0.86299999999999999</v>
      </c>
      <c r="BD63">
        <v>0.54600000000000004</v>
      </c>
      <c r="BE63">
        <v>0</v>
      </c>
      <c r="BF63">
        <v>0.30430000000000001</v>
      </c>
      <c r="BG63">
        <v>0</v>
      </c>
      <c r="BH63">
        <v>0.30526768799999998</v>
      </c>
      <c r="BI63">
        <v>0</v>
      </c>
      <c r="BJ63">
        <v>0.30430000000000001</v>
      </c>
      <c r="BK63" t="s">
        <v>76</v>
      </c>
      <c r="BL63" t="s">
        <v>311</v>
      </c>
    </row>
    <row r="64" spans="1:64" x14ac:dyDescent="0.55000000000000004">
      <c r="A64" t="s">
        <v>305</v>
      </c>
      <c r="B64">
        <v>1</v>
      </c>
      <c r="C64">
        <v>1</v>
      </c>
      <c r="D64">
        <v>2</v>
      </c>
      <c r="E64">
        <v>1</v>
      </c>
      <c r="F64">
        <v>1.1000000000000001</v>
      </c>
      <c r="G64" t="s">
        <v>312</v>
      </c>
      <c r="H64" t="s">
        <v>307</v>
      </c>
      <c r="I64" t="s">
        <v>308</v>
      </c>
      <c r="J64">
        <v>2020</v>
      </c>
      <c r="K64" t="s">
        <v>272</v>
      </c>
      <c r="L64" t="s">
        <v>309</v>
      </c>
      <c r="M64" t="s">
        <v>108</v>
      </c>
      <c r="N64" t="s">
        <v>72</v>
      </c>
      <c r="O64" t="s">
        <v>310</v>
      </c>
      <c r="P64" t="str">
        <f>VLOOKUP(O64,Sheet3!$A$1:$B$22,2,0)</f>
        <v>Review Analysis</v>
      </c>
      <c r="Q64" t="s">
        <v>110</v>
      </c>
      <c r="R64" t="s">
        <v>75</v>
      </c>
      <c r="S64" t="s">
        <v>75</v>
      </c>
      <c r="T64" t="s">
        <v>75</v>
      </c>
      <c r="U64" t="s">
        <v>75</v>
      </c>
      <c r="V64" t="s">
        <v>76</v>
      </c>
      <c r="W64" t="s">
        <v>75</v>
      </c>
      <c r="X64" t="s">
        <v>135</v>
      </c>
      <c r="Y64" t="s">
        <v>135</v>
      </c>
      <c r="Z64" t="s">
        <v>77</v>
      </c>
      <c r="AA64" t="s">
        <v>78</v>
      </c>
      <c r="AB64" t="s">
        <v>110</v>
      </c>
      <c r="AC64" t="s">
        <v>110</v>
      </c>
      <c r="AD64" t="s">
        <v>545</v>
      </c>
      <c r="AE64" t="s">
        <v>79</v>
      </c>
      <c r="AF64" t="s">
        <v>75</v>
      </c>
      <c r="AG64" t="s">
        <v>313</v>
      </c>
      <c r="AH64" t="s">
        <v>75</v>
      </c>
      <c r="AI64" t="s">
        <v>75</v>
      </c>
      <c r="AK64" t="s">
        <v>115</v>
      </c>
      <c r="AL64" t="s">
        <v>115</v>
      </c>
      <c r="AM64" t="s">
        <v>116</v>
      </c>
      <c r="AN64">
        <v>480</v>
      </c>
      <c r="AO64">
        <v>80</v>
      </c>
      <c r="AP64">
        <v>80</v>
      </c>
      <c r="AQ64" t="s">
        <v>84</v>
      </c>
      <c r="AR64" t="s">
        <v>84</v>
      </c>
      <c r="AS64" t="s">
        <v>85</v>
      </c>
      <c r="AT64" t="s">
        <v>75</v>
      </c>
      <c r="AU64" t="s">
        <v>76</v>
      </c>
      <c r="AV64">
        <v>0.54600000000000004</v>
      </c>
      <c r="AW64">
        <v>0.86299999999999999</v>
      </c>
      <c r="AX64">
        <v>0.60899999999999999</v>
      </c>
      <c r="AY64">
        <v>0.54600000000000004</v>
      </c>
      <c r="AZ64">
        <v>0.86299999999999999</v>
      </c>
      <c r="BA64">
        <v>0.60899999999999999</v>
      </c>
      <c r="BB64" t="s">
        <v>86</v>
      </c>
      <c r="BC64">
        <v>0.86299999999999999</v>
      </c>
      <c r="BD64">
        <v>0.54600000000000004</v>
      </c>
      <c r="BE64">
        <v>0</v>
      </c>
      <c r="BF64">
        <v>0.30430000000000001</v>
      </c>
      <c r="BG64">
        <v>0</v>
      </c>
      <c r="BH64">
        <v>0.274096108</v>
      </c>
      <c r="BI64">
        <v>0</v>
      </c>
      <c r="BJ64">
        <v>0.30430000000000001</v>
      </c>
      <c r="BK64" t="s">
        <v>76</v>
      </c>
      <c r="BL64" t="s">
        <v>313</v>
      </c>
    </row>
    <row r="65" spans="1:64" x14ac:dyDescent="0.55000000000000004">
      <c r="A65" t="s">
        <v>305</v>
      </c>
      <c r="B65">
        <v>1</v>
      </c>
      <c r="C65">
        <v>1</v>
      </c>
      <c r="D65">
        <v>3</v>
      </c>
      <c r="E65">
        <v>1</v>
      </c>
      <c r="F65">
        <v>1.1000000000000001</v>
      </c>
      <c r="G65" t="s">
        <v>314</v>
      </c>
      <c r="H65" t="s">
        <v>307</v>
      </c>
      <c r="I65" t="s">
        <v>308</v>
      </c>
      <c r="J65">
        <v>2020</v>
      </c>
      <c r="K65" t="s">
        <v>272</v>
      </c>
      <c r="L65" t="s">
        <v>309</v>
      </c>
      <c r="M65" t="s">
        <v>108</v>
      </c>
      <c r="N65" t="s">
        <v>72</v>
      </c>
      <c r="O65" t="s">
        <v>310</v>
      </c>
      <c r="P65" t="str">
        <f>VLOOKUP(O65,Sheet3!$A$1:$B$22,2,0)</f>
        <v>Review Analysis</v>
      </c>
      <c r="Q65" t="s">
        <v>110</v>
      </c>
      <c r="R65" t="s">
        <v>75</v>
      </c>
      <c r="S65" t="s">
        <v>75</v>
      </c>
      <c r="T65" t="s">
        <v>75</v>
      </c>
      <c r="U65" t="s">
        <v>75</v>
      </c>
      <c r="V65" t="s">
        <v>76</v>
      </c>
      <c r="W65" t="s">
        <v>75</v>
      </c>
      <c r="X65" t="s">
        <v>135</v>
      </c>
      <c r="Y65" t="s">
        <v>135</v>
      </c>
      <c r="Z65" t="s">
        <v>77</v>
      </c>
      <c r="AA65" t="s">
        <v>78</v>
      </c>
      <c r="AB65" t="s">
        <v>110</v>
      </c>
      <c r="AC65" t="s">
        <v>110</v>
      </c>
      <c r="AD65" t="s">
        <v>545</v>
      </c>
      <c r="AE65" t="s">
        <v>79</v>
      </c>
      <c r="AF65" t="s">
        <v>75</v>
      </c>
      <c r="AG65" t="s">
        <v>315</v>
      </c>
      <c r="AH65" t="s">
        <v>75</v>
      </c>
      <c r="AI65" t="s">
        <v>75</v>
      </c>
      <c r="AK65" t="s">
        <v>115</v>
      </c>
      <c r="AL65" t="s">
        <v>115</v>
      </c>
      <c r="AM65" t="s">
        <v>116</v>
      </c>
      <c r="AN65">
        <v>480</v>
      </c>
      <c r="AO65">
        <v>80</v>
      </c>
      <c r="AP65">
        <v>80</v>
      </c>
      <c r="AQ65" t="s">
        <v>84</v>
      </c>
      <c r="AR65" t="s">
        <v>84</v>
      </c>
      <c r="AS65" t="s">
        <v>85</v>
      </c>
      <c r="AT65" t="s">
        <v>75</v>
      </c>
      <c r="AU65" t="s">
        <v>76</v>
      </c>
      <c r="AV65">
        <v>0.54600000000000004</v>
      </c>
      <c r="AW65">
        <v>0.86299999999999999</v>
      </c>
      <c r="AX65">
        <v>0.57799999999999996</v>
      </c>
      <c r="AY65">
        <v>0.54600000000000004</v>
      </c>
      <c r="AZ65">
        <v>0.86299999999999999</v>
      </c>
      <c r="BA65">
        <v>0.57799999999999996</v>
      </c>
      <c r="BB65" t="s">
        <v>86</v>
      </c>
      <c r="BC65">
        <v>0.86299999999999999</v>
      </c>
      <c r="BD65">
        <v>0.54600000000000004</v>
      </c>
      <c r="BE65">
        <v>0</v>
      </c>
      <c r="BF65">
        <v>0.30430000000000001</v>
      </c>
      <c r="BG65">
        <v>0</v>
      </c>
      <c r="BH65">
        <v>0.29473176400000001</v>
      </c>
      <c r="BI65">
        <v>0</v>
      </c>
      <c r="BJ65">
        <v>0.30430000000000001</v>
      </c>
      <c r="BK65" t="s">
        <v>76</v>
      </c>
      <c r="BL65" t="s">
        <v>315</v>
      </c>
    </row>
    <row r="66" spans="1:64" x14ac:dyDescent="0.55000000000000004">
      <c r="A66" t="s">
        <v>305</v>
      </c>
      <c r="B66">
        <v>1</v>
      </c>
      <c r="C66">
        <v>1</v>
      </c>
      <c r="D66">
        <v>4</v>
      </c>
      <c r="E66">
        <v>1</v>
      </c>
      <c r="F66">
        <v>1.1000000000000001</v>
      </c>
      <c r="G66" t="s">
        <v>316</v>
      </c>
      <c r="H66" t="s">
        <v>307</v>
      </c>
      <c r="I66" t="s">
        <v>308</v>
      </c>
      <c r="J66">
        <v>2020</v>
      </c>
      <c r="K66" t="s">
        <v>272</v>
      </c>
      <c r="L66" t="s">
        <v>309</v>
      </c>
      <c r="M66" t="s">
        <v>108</v>
      </c>
      <c r="N66" t="s">
        <v>72</v>
      </c>
      <c r="O66" t="s">
        <v>310</v>
      </c>
      <c r="P66" t="str">
        <f>VLOOKUP(O66,Sheet3!$A$1:$B$22,2,0)</f>
        <v>Review Analysis</v>
      </c>
      <c r="Q66" t="s">
        <v>110</v>
      </c>
      <c r="R66" t="s">
        <v>75</v>
      </c>
      <c r="S66" t="s">
        <v>75</v>
      </c>
      <c r="T66" t="s">
        <v>75</v>
      </c>
      <c r="U66" t="s">
        <v>75</v>
      </c>
      <c r="V66" t="s">
        <v>76</v>
      </c>
      <c r="W66" t="s">
        <v>75</v>
      </c>
      <c r="X66" t="s">
        <v>135</v>
      </c>
      <c r="Y66" t="s">
        <v>135</v>
      </c>
      <c r="Z66" t="s">
        <v>77</v>
      </c>
      <c r="AA66" t="s">
        <v>78</v>
      </c>
      <c r="AB66" t="s">
        <v>110</v>
      </c>
      <c r="AC66" t="s">
        <v>110</v>
      </c>
      <c r="AD66" t="s">
        <v>545</v>
      </c>
      <c r="AE66" t="s">
        <v>79</v>
      </c>
      <c r="AF66" t="s">
        <v>75</v>
      </c>
      <c r="AG66" t="s">
        <v>317</v>
      </c>
      <c r="AH66" t="s">
        <v>75</v>
      </c>
      <c r="AI66" t="s">
        <v>75</v>
      </c>
      <c r="AK66" t="s">
        <v>115</v>
      </c>
      <c r="AL66" t="s">
        <v>115</v>
      </c>
      <c r="AM66" t="s">
        <v>116</v>
      </c>
      <c r="AN66">
        <v>480</v>
      </c>
      <c r="AO66">
        <v>80</v>
      </c>
      <c r="AP66">
        <v>80</v>
      </c>
      <c r="AQ66" t="s">
        <v>84</v>
      </c>
      <c r="AR66" t="s">
        <v>84</v>
      </c>
      <c r="AS66" t="s">
        <v>85</v>
      </c>
      <c r="AT66" t="s">
        <v>75</v>
      </c>
      <c r="AU66" t="s">
        <v>76</v>
      </c>
      <c r="AV66">
        <v>0.54600000000000004</v>
      </c>
      <c r="AW66">
        <v>0.86299999999999999</v>
      </c>
      <c r="AX66">
        <v>0.57899999999999996</v>
      </c>
      <c r="AY66">
        <v>0.54600000000000004</v>
      </c>
      <c r="AZ66">
        <v>0.86299999999999999</v>
      </c>
      <c r="BA66">
        <v>0.57899999999999996</v>
      </c>
      <c r="BB66" t="s">
        <v>86</v>
      </c>
      <c r="BC66">
        <v>0.86299999999999999</v>
      </c>
      <c r="BD66">
        <v>0.54600000000000004</v>
      </c>
      <c r="BE66">
        <v>0</v>
      </c>
      <c r="BF66">
        <v>0.30430000000000001</v>
      </c>
      <c r="BG66">
        <v>0</v>
      </c>
      <c r="BH66">
        <v>0.24389166700000001</v>
      </c>
      <c r="BI66">
        <v>0</v>
      </c>
      <c r="BJ66">
        <v>0.30430000000000001</v>
      </c>
      <c r="BK66" t="s">
        <v>76</v>
      </c>
      <c r="BL66" t="s">
        <v>317</v>
      </c>
    </row>
    <row r="67" spans="1:64" x14ac:dyDescent="0.55000000000000004">
      <c r="A67" t="s">
        <v>305</v>
      </c>
      <c r="B67">
        <v>1</v>
      </c>
      <c r="C67">
        <v>1</v>
      </c>
      <c r="D67">
        <v>5</v>
      </c>
      <c r="E67">
        <v>1</v>
      </c>
      <c r="F67">
        <v>1.1000000000000001</v>
      </c>
      <c r="G67" t="s">
        <v>318</v>
      </c>
      <c r="H67" t="s">
        <v>307</v>
      </c>
      <c r="I67" t="s">
        <v>308</v>
      </c>
      <c r="J67">
        <v>2020</v>
      </c>
      <c r="K67" t="s">
        <v>272</v>
      </c>
      <c r="L67" t="s">
        <v>309</v>
      </c>
      <c r="M67" t="s">
        <v>108</v>
      </c>
      <c r="N67" t="s">
        <v>72</v>
      </c>
      <c r="O67" t="s">
        <v>310</v>
      </c>
      <c r="P67" t="str">
        <f>VLOOKUP(O67,Sheet3!$A$1:$B$22,2,0)</f>
        <v>Review Analysis</v>
      </c>
      <c r="Q67" t="s">
        <v>110</v>
      </c>
      <c r="R67" t="s">
        <v>75</v>
      </c>
      <c r="S67" t="s">
        <v>75</v>
      </c>
      <c r="T67" t="s">
        <v>75</v>
      </c>
      <c r="U67" t="s">
        <v>75</v>
      </c>
      <c r="V67" t="s">
        <v>76</v>
      </c>
      <c r="W67" t="s">
        <v>75</v>
      </c>
      <c r="X67" t="s">
        <v>135</v>
      </c>
      <c r="Y67" t="s">
        <v>135</v>
      </c>
      <c r="Z67" t="s">
        <v>77</v>
      </c>
      <c r="AA67" t="s">
        <v>78</v>
      </c>
      <c r="AB67" t="s">
        <v>110</v>
      </c>
      <c r="AC67" t="s">
        <v>110</v>
      </c>
      <c r="AD67" t="s">
        <v>545</v>
      </c>
      <c r="AE67" t="s">
        <v>79</v>
      </c>
      <c r="AF67" t="s">
        <v>75</v>
      </c>
      <c r="AG67" t="s">
        <v>319</v>
      </c>
      <c r="AH67" t="s">
        <v>75</v>
      </c>
      <c r="AI67" t="s">
        <v>75</v>
      </c>
      <c r="AK67" t="s">
        <v>115</v>
      </c>
      <c r="AL67" t="s">
        <v>115</v>
      </c>
      <c r="AM67" t="s">
        <v>116</v>
      </c>
      <c r="AN67">
        <v>480</v>
      </c>
      <c r="AO67">
        <v>80</v>
      </c>
      <c r="AP67">
        <v>80</v>
      </c>
      <c r="AQ67" t="s">
        <v>84</v>
      </c>
      <c r="AR67" t="s">
        <v>84</v>
      </c>
      <c r="AS67" t="s">
        <v>85</v>
      </c>
      <c r="AT67" t="s">
        <v>75</v>
      </c>
      <c r="AU67" t="s">
        <v>76</v>
      </c>
      <c r="AV67">
        <v>0.54600000000000004</v>
      </c>
      <c r="AW67">
        <v>0.86299999999999999</v>
      </c>
      <c r="AX67">
        <v>0.59199999999999997</v>
      </c>
      <c r="AY67">
        <v>0.54600000000000004</v>
      </c>
      <c r="AZ67">
        <v>0.86299999999999999</v>
      </c>
      <c r="BA67">
        <v>0.59199999999999997</v>
      </c>
      <c r="BB67" t="s">
        <v>86</v>
      </c>
      <c r="BC67">
        <v>0.86299999999999999</v>
      </c>
      <c r="BD67">
        <v>0.54600000000000004</v>
      </c>
      <c r="BE67">
        <v>0</v>
      </c>
      <c r="BF67">
        <v>0.30430000000000001</v>
      </c>
      <c r="BG67">
        <v>0</v>
      </c>
      <c r="BH67">
        <v>0.27508047400000002</v>
      </c>
      <c r="BI67">
        <v>0</v>
      </c>
      <c r="BJ67">
        <v>0.30430000000000001</v>
      </c>
      <c r="BK67" t="s">
        <v>76</v>
      </c>
      <c r="BL67" t="s">
        <v>319</v>
      </c>
    </row>
    <row r="68" spans="1:64" x14ac:dyDescent="0.55000000000000004">
      <c r="A68" t="s">
        <v>305</v>
      </c>
      <c r="B68">
        <v>1</v>
      </c>
      <c r="C68">
        <v>2</v>
      </c>
      <c r="D68">
        <v>1</v>
      </c>
      <c r="E68">
        <v>1</v>
      </c>
      <c r="F68">
        <v>1.2</v>
      </c>
      <c r="G68" t="s">
        <v>320</v>
      </c>
      <c r="H68" t="s">
        <v>307</v>
      </c>
      <c r="I68" t="s">
        <v>308</v>
      </c>
      <c r="J68">
        <v>2020</v>
      </c>
      <c r="K68" t="s">
        <v>272</v>
      </c>
      <c r="L68" t="s">
        <v>309</v>
      </c>
      <c r="M68" t="s">
        <v>108</v>
      </c>
      <c r="N68" t="s">
        <v>72</v>
      </c>
      <c r="O68" t="s">
        <v>310</v>
      </c>
      <c r="P68" t="str">
        <f>VLOOKUP(O68,Sheet3!$A$1:$B$22,2,0)</f>
        <v>Review Analysis</v>
      </c>
      <c r="Q68" t="s">
        <v>110</v>
      </c>
      <c r="R68" t="s">
        <v>75</v>
      </c>
      <c r="S68" t="s">
        <v>75</v>
      </c>
      <c r="T68" t="s">
        <v>75</v>
      </c>
      <c r="U68" t="s">
        <v>75</v>
      </c>
      <c r="V68" t="s">
        <v>76</v>
      </c>
      <c r="W68" t="s">
        <v>75</v>
      </c>
      <c r="X68" t="s">
        <v>135</v>
      </c>
      <c r="Y68" t="s">
        <v>135</v>
      </c>
      <c r="Z68" t="s">
        <v>77</v>
      </c>
      <c r="AA68" t="s">
        <v>78</v>
      </c>
      <c r="AB68" t="s">
        <v>110</v>
      </c>
      <c r="AC68" t="s">
        <v>110</v>
      </c>
      <c r="AD68" t="s">
        <v>545</v>
      </c>
      <c r="AE68" t="s">
        <v>79</v>
      </c>
      <c r="AF68" t="s">
        <v>75</v>
      </c>
      <c r="AG68" t="s">
        <v>321</v>
      </c>
      <c r="AH68" t="s">
        <v>76</v>
      </c>
      <c r="AI68" t="s">
        <v>75</v>
      </c>
      <c r="AJ68" t="s">
        <v>196</v>
      </c>
      <c r="AK68" t="s">
        <v>115</v>
      </c>
      <c r="AL68" t="s">
        <v>115</v>
      </c>
      <c r="AM68" t="s">
        <v>116</v>
      </c>
      <c r="AN68">
        <v>480</v>
      </c>
      <c r="AO68">
        <v>80</v>
      </c>
      <c r="AP68">
        <v>80</v>
      </c>
      <c r="AQ68" t="s">
        <v>84</v>
      </c>
      <c r="AR68" t="s">
        <v>84</v>
      </c>
      <c r="AS68" t="s">
        <v>85</v>
      </c>
      <c r="AT68" t="s">
        <v>75</v>
      </c>
      <c r="AU68" t="s">
        <v>76</v>
      </c>
      <c r="AV68">
        <v>0.60399999999999998</v>
      </c>
      <c r="AW68">
        <v>0.86299999999999999</v>
      </c>
      <c r="AX68">
        <v>0.57799999999999996</v>
      </c>
      <c r="AY68">
        <v>0.60399999999999998</v>
      </c>
      <c r="AZ68">
        <v>0.86299999999999999</v>
      </c>
      <c r="BA68">
        <v>0.57799999999999996</v>
      </c>
      <c r="BB68" t="s">
        <v>86</v>
      </c>
      <c r="BC68">
        <v>0.86299999999999999</v>
      </c>
      <c r="BD68">
        <v>0.60399999999999998</v>
      </c>
      <c r="BE68">
        <v>0</v>
      </c>
      <c r="BF68">
        <v>0.27560000000000001</v>
      </c>
      <c r="BG68">
        <v>0</v>
      </c>
      <c r="BH68">
        <v>0.21768707500000001</v>
      </c>
      <c r="BI68">
        <v>0</v>
      </c>
      <c r="BJ68">
        <v>0.27560000000000001</v>
      </c>
      <c r="BK68" t="s">
        <v>76</v>
      </c>
      <c r="BL68" t="s">
        <v>321</v>
      </c>
    </row>
    <row r="69" spans="1:64" x14ac:dyDescent="0.55000000000000004">
      <c r="A69" t="s">
        <v>305</v>
      </c>
      <c r="B69">
        <v>1</v>
      </c>
      <c r="C69">
        <v>2</v>
      </c>
      <c r="D69">
        <v>2</v>
      </c>
      <c r="E69">
        <v>1</v>
      </c>
      <c r="F69">
        <v>1.2</v>
      </c>
      <c r="G69" t="s">
        <v>322</v>
      </c>
      <c r="H69" t="s">
        <v>307</v>
      </c>
      <c r="I69" t="s">
        <v>308</v>
      </c>
      <c r="J69">
        <v>2020</v>
      </c>
      <c r="K69" t="s">
        <v>272</v>
      </c>
      <c r="L69" t="s">
        <v>309</v>
      </c>
      <c r="M69" t="s">
        <v>108</v>
      </c>
      <c r="N69" t="s">
        <v>72</v>
      </c>
      <c r="O69" t="s">
        <v>310</v>
      </c>
      <c r="P69" t="str">
        <f>VLOOKUP(O69,Sheet3!$A$1:$B$22,2,0)</f>
        <v>Review Analysis</v>
      </c>
      <c r="Q69" t="s">
        <v>110</v>
      </c>
      <c r="R69" t="s">
        <v>75</v>
      </c>
      <c r="S69" t="s">
        <v>75</v>
      </c>
      <c r="T69" t="s">
        <v>75</v>
      </c>
      <c r="U69" t="s">
        <v>75</v>
      </c>
      <c r="V69" t="s">
        <v>76</v>
      </c>
      <c r="W69" t="s">
        <v>75</v>
      </c>
      <c r="X69" t="s">
        <v>135</v>
      </c>
      <c r="Y69" t="s">
        <v>135</v>
      </c>
      <c r="Z69" t="s">
        <v>77</v>
      </c>
      <c r="AA69" t="s">
        <v>78</v>
      </c>
      <c r="AB69" t="s">
        <v>110</v>
      </c>
      <c r="AC69" t="s">
        <v>110</v>
      </c>
      <c r="AD69" t="s">
        <v>545</v>
      </c>
      <c r="AE69" t="s">
        <v>79</v>
      </c>
      <c r="AF69" t="s">
        <v>75</v>
      </c>
      <c r="AG69" t="s">
        <v>323</v>
      </c>
      <c r="AH69" t="s">
        <v>76</v>
      </c>
      <c r="AI69" t="s">
        <v>75</v>
      </c>
      <c r="AJ69" t="s">
        <v>196</v>
      </c>
      <c r="AK69" t="s">
        <v>115</v>
      </c>
      <c r="AL69" t="s">
        <v>115</v>
      </c>
      <c r="AM69" t="s">
        <v>116</v>
      </c>
      <c r="AN69">
        <v>480</v>
      </c>
      <c r="AO69">
        <v>80</v>
      </c>
      <c r="AP69">
        <v>80</v>
      </c>
      <c r="AQ69" t="s">
        <v>84</v>
      </c>
      <c r="AR69" t="s">
        <v>84</v>
      </c>
      <c r="AS69" t="s">
        <v>85</v>
      </c>
      <c r="AT69" t="s">
        <v>75</v>
      </c>
      <c r="AU69" t="s">
        <v>76</v>
      </c>
      <c r="AV69">
        <v>0.60399999999999998</v>
      </c>
      <c r="AW69">
        <v>0.86299999999999999</v>
      </c>
      <c r="AX69">
        <v>0.70699999999999996</v>
      </c>
      <c r="AY69">
        <v>0.60399999999999998</v>
      </c>
      <c r="AZ69">
        <v>0.86299999999999999</v>
      </c>
      <c r="BA69">
        <v>0.70699999999999996</v>
      </c>
      <c r="BB69" t="s">
        <v>86</v>
      </c>
      <c r="BC69">
        <v>0.86299999999999999</v>
      </c>
      <c r="BD69">
        <v>0.60399999999999998</v>
      </c>
      <c r="BE69">
        <v>0</v>
      </c>
      <c r="BF69">
        <v>0.27560000000000001</v>
      </c>
      <c r="BG69">
        <v>0</v>
      </c>
      <c r="BH69">
        <v>0.21900373100000001</v>
      </c>
      <c r="BI69">
        <v>0</v>
      </c>
      <c r="BJ69">
        <v>0.27560000000000001</v>
      </c>
      <c r="BK69" t="s">
        <v>76</v>
      </c>
      <c r="BL69" t="s">
        <v>323</v>
      </c>
    </row>
    <row r="70" spans="1:64" x14ac:dyDescent="0.55000000000000004">
      <c r="A70" t="s">
        <v>305</v>
      </c>
      <c r="B70">
        <v>1</v>
      </c>
      <c r="C70">
        <v>2</v>
      </c>
      <c r="D70">
        <v>3</v>
      </c>
      <c r="E70">
        <v>1</v>
      </c>
      <c r="F70">
        <v>1.2</v>
      </c>
      <c r="G70" t="s">
        <v>324</v>
      </c>
      <c r="H70" t="s">
        <v>307</v>
      </c>
      <c r="I70" t="s">
        <v>308</v>
      </c>
      <c r="J70">
        <v>2020</v>
      </c>
      <c r="K70" t="s">
        <v>272</v>
      </c>
      <c r="L70" t="s">
        <v>309</v>
      </c>
      <c r="M70" t="s">
        <v>108</v>
      </c>
      <c r="N70" t="s">
        <v>72</v>
      </c>
      <c r="O70" t="s">
        <v>310</v>
      </c>
      <c r="P70" t="str">
        <f>VLOOKUP(O70,Sheet3!$A$1:$B$22,2,0)</f>
        <v>Review Analysis</v>
      </c>
      <c r="Q70" t="s">
        <v>110</v>
      </c>
      <c r="R70" t="s">
        <v>75</v>
      </c>
      <c r="S70" t="s">
        <v>75</v>
      </c>
      <c r="T70" t="s">
        <v>75</v>
      </c>
      <c r="U70" t="s">
        <v>75</v>
      </c>
      <c r="V70" t="s">
        <v>76</v>
      </c>
      <c r="W70" t="s">
        <v>75</v>
      </c>
      <c r="X70" t="s">
        <v>135</v>
      </c>
      <c r="Y70" t="s">
        <v>135</v>
      </c>
      <c r="Z70" t="s">
        <v>77</v>
      </c>
      <c r="AA70" t="s">
        <v>78</v>
      </c>
      <c r="AB70" t="s">
        <v>110</v>
      </c>
      <c r="AC70" t="s">
        <v>110</v>
      </c>
      <c r="AD70" t="s">
        <v>545</v>
      </c>
      <c r="AE70" t="s">
        <v>79</v>
      </c>
      <c r="AF70" t="s">
        <v>75</v>
      </c>
      <c r="AG70" t="s">
        <v>325</v>
      </c>
      <c r="AH70" t="s">
        <v>76</v>
      </c>
      <c r="AI70" t="s">
        <v>75</v>
      </c>
      <c r="AJ70" t="s">
        <v>91</v>
      </c>
      <c r="AK70" t="s">
        <v>115</v>
      </c>
      <c r="AL70" t="s">
        <v>115</v>
      </c>
      <c r="AM70" t="s">
        <v>116</v>
      </c>
      <c r="AN70">
        <v>480</v>
      </c>
      <c r="AO70">
        <v>80</v>
      </c>
      <c r="AP70">
        <v>80</v>
      </c>
      <c r="AQ70" t="s">
        <v>84</v>
      </c>
      <c r="AR70" t="s">
        <v>84</v>
      </c>
      <c r="AS70" t="s">
        <v>85</v>
      </c>
      <c r="AT70" t="s">
        <v>75</v>
      </c>
      <c r="AU70" t="s">
        <v>76</v>
      </c>
      <c r="AV70">
        <v>0.60399999999999998</v>
      </c>
      <c r="AW70">
        <v>0.86299999999999999</v>
      </c>
      <c r="AX70">
        <v>0.72299999999999998</v>
      </c>
      <c r="AY70">
        <v>0.60399999999999998</v>
      </c>
      <c r="AZ70">
        <v>0.86299999999999999</v>
      </c>
      <c r="BA70">
        <v>0.72299999999999998</v>
      </c>
      <c r="BB70" t="s">
        <v>86</v>
      </c>
      <c r="BC70">
        <v>0.86299999999999999</v>
      </c>
      <c r="BD70">
        <v>0.60399999999999998</v>
      </c>
      <c r="BE70">
        <v>0</v>
      </c>
      <c r="BF70">
        <v>0.27560000000000001</v>
      </c>
      <c r="BG70">
        <v>0</v>
      </c>
      <c r="BH70">
        <v>0.26815887599999999</v>
      </c>
      <c r="BI70">
        <v>0</v>
      </c>
      <c r="BJ70">
        <v>0.27560000000000001</v>
      </c>
      <c r="BK70" t="s">
        <v>76</v>
      </c>
      <c r="BL70" t="s">
        <v>325</v>
      </c>
    </row>
    <row r="71" spans="1:64" x14ac:dyDescent="0.55000000000000004">
      <c r="A71" t="s">
        <v>305</v>
      </c>
      <c r="B71">
        <v>1</v>
      </c>
      <c r="C71">
        <v>2</v>
      </c>
      <c r="D71">
        <v>4</v>
      </c>
      <c r="E71">
        <v>1</v>
      </c>
      <c r="F71">
        <v>1.2</v>
      </c>
      <c r="G71" t="s">
        <v>326</v>
      </c>
      <c r="H71" t="s">
        <v>307</v>
      </c>
      <c r="I71" t="s">
        <v>308</v>
      </c>
      <c r="J71">
        <v>2020</v>
      </c>
      <c r="K71" t="s">
        <v>272</v>
      </c>
      <c r="L71" t="s">
        <v>309</v>
      </c>
      <c r="M71" t="s">
        <v>108</v>
      </c>
      <c r="N71" t="s">
        <v>72</v>
      </c>
      <c r="O71" t="s">
        <v>310</v>
      </c>
      <c r="P71" t="str">
        <f>VLOOKUP(O71,Sheet3!$A$1:$B$22,2,0)</f>
        <v>Review Analysis</v>
      </c>
      <c r="Q71" t="s">
        <v>110</v>
      </c>
      <c r="R71" t="s">
        <v>75</v>
      </c>
      <c r="S71" t="s">
        <v>75</v>
      </c>
      <c r="T71" t="s">
        <v>75</v>
      </c>
      <c r="U71" t="s">
        <v>75</v>
      </c>
      <c r="V71" t="s">
        <v>76</v>
      </c>
      <c r="W71" t="s">
        <v>75</v>
      </c>
      <c r="X71" t="s">
        <v>135</v>
      </c>
      <c r="Y71" t="s">
        <v>135</v>
      </c>
      <c r="Z71" t="s">
        <v>77</v>
      </c>
      <c r="AA71" t="s">
        <v>78</v>
      </c>
      <c r="AB71" t="s">
        <v>110</v>
      </c>
      <c r="AC71" t="s">
        <v>110</v>
      </c>
      <c r="AD71" t="s">
        <v>545</v>
      </c>
      <c r="AE71" t="s">
        <v>79</v>
      </c>
      <c r="AF71" t="s">
        <v>75</v>
      </c>
      <c r="AG71" t="s">
        <v>327</v>
      </c>
      <c r="AH71" t="s">
        <v>76</v>
      </c>
      <c r="AI71" t="s">
        <v>75</v>
      </c>
      <c r="AJ71" t="s">
        <v>120</v>
      </c>
      <c r="AK71" t="s">
        <v>115</v>
      </c>
      <c r="AL71" t="s">
        <v>115</v>
      </c>
      <c r="AM71" t="s">
        <v>116</v>
      </c>
      <c r="AN71">
        <v>480</v>
      </c>
      <c r="AO71">
        <v>80</v>
      </c>
      <c r="AP71">
        <v>80</v>
      </c>
      <c r="AQ71" t="s">
        <v>84</v>
      </c>
      <c r="AR71" t="s">
        <v>84</v>
      </c>
      <c r="AS71" t="s">
        <v>85</v>
      </c>
      <c r="AT71" t="s">
        <v>75</v>
      </c>
      <c r="AU71" t="s">
        <v>76</v>
      </c>
      <c r="AV71">
        <v>0.60399999999999998</v>
      </c>
      <c r="AW71">
        <v>0.86299999999999999</v>
      </c>
      <c r="AX71">
        <v>0.70499999999999996</v>
      </c>
      <c r="AY71">
        <v>0.60399999999999998</v>
      </c>
      <c r="AZ71">
        <v>0.86299999999999999</v>
      </c>
      <c r="BA71">
        <v>0.70499999999999996</v>
      </c>
      <c r="BB71" t="s">
        <v>86</v>
      </c>
      <c r="BC71">
        <v>0.86299999999999999</v>
      </c>
      <c r="BD71">
        <v>0.60399999999999998</v>
      </c>
      <c r="BE71">
        <v>0</v>
      </c>
      <c r="BF71">
        <v>0.27560000000000001</v>
      </c>
      <c r="BG71">
        <v>0</v>
      </c>
      <c r="BH71">
        <v>0.25674785999999999</v>
      </c>
      <c r="BI71">
        <v>0</v>
      </c>
      <c r="BJ71">
        <v>0.27560000000000001</v>
      </c>
      <c r="BK71" t="s">
        <v>76</v>
      </c>
      <c r="BL71" t="s">
        <v>327</v>
      </c>
    </row>
    <row r="72" spans="1:64" x14ac:dyDescent="0.55000000000000004">
      <c r="A72" t="s">
        <v>305</v>
      </c>
      <c r="B72">
        <v>1</v>
      </c>
      <c r="C72">
        <v>2</v>
      </c>
      <c r="D72">
        <v>5</v>
      </c>
      <c r="E72">
        <v>1</v>
      </c>
      <c r="F72">
        <v>1.2</v>
      </c>
      <c r="G72" t="s">
        <v>328</v>
      </c>
      <c r="H72" t="s">
        <v>307</v>
      </c>
      <c r="I72" t="s">
        <v>308</v>
      </c>
      <c r="J72">
        <v>2020</v>
      </c>
      <c r="K72" t="s">
        <v>272</v>
      </c>
      <c r="L72" t="s">
        <v>309</v>
      </c>
      <c r="M72" t="s">
        <v>108</v>
      </c>
      <c r="N72" t="s">
        <v>72</v>
      </c>
      <c r="O72" t="s">
        <v>310</v>
      </c>
      <c r="P72" t="str">
        <f>VLOOKUP(O72,Sheet3!$A$1:$B$22,2,0)</f>
        <v>Review Analysis</v>
      </c>
      <c r="Q72" t="s">
        <v>110</v>
      </c>
      <c r="R72" t="s">
        <v>75</v>
      </c>
      <c r="S72" t="s">
        <v>75</v>
      </c>
      <c r="T72" t="s">
        <v>75</v>
      </c>
      <c r="U72" t="s">
        <v>75</v>
      </c>
      <c r="V72" t="s">
        <v>76</v>
      </c>
      <c r="W72" t="s">
        <v>75</v>
      </c>
      <c r="X72" t="s">
        <v>135</v>
      </c>
      <c r="Y72" t="s">
        <v>135</v>
      </c>
      <c r="Z72" t="s">
        <v>77</v>
      </c>
      <c r="AA72" t="s">
        <v>78</v>
      </c>
      <c r="AB72" t="s">
        <v>110</v>
      </c>
      <c r="AC72" t="s">
        <v>110</v>
      </c>
      <c r="AD72" t="s">
        <v>545</v>
      </c>
      <c r="AE72" t="s">
        <v>79</v>
      </c>
      <c r="AF72" t="s">
        <v>75</v>
      </c>
      <c r="AG72" t="s">
        <v>329</v>
      </c>
      <c r="AH72" t="s">
        <v>76</v>
      </c>
      <c r="AI72" t="s">
        <v>75</v>
      </c>
      <c r="AJ72" t="s">
        <v>120</v>
      </c>
      <c r="AK72" t="s">
        <v>115</v>
      </c>
      <c r="AL72" t="s">
        <v>115</v>
      </c>
      <c r="AM72" t="s">
        <v>116</v>
      </c>
      <c r="AN72">
        <v>480</v>
      </c>
      <c r="AO72">
        <v>80</v>
      </c>
      <c r="AP72">
        <v>80</v>
      </c>
      <c r="AQ72" t="s">
        <v>84</v>
      </c>
      <c r="AR72" t="s">
        <v>84</v>
      </c>
      <c r="AS72" t="s">
        <v>85</v>
      </c>
      <c r="AT72" t="s">
        <v>75</v>
      </c>
      <c r="AU72" t="s">
        <v>76</v>
      </c>
      <c r="AV72">
        <v>0.60399999999999998</v>
      </c>
      <c r="AW72">
        <v>0.86299999999999999</v>
      </c>
      <c r="AX72">
        <v>0.74</v>
      </c>
      <c r="AY72">
        <v>0.60399999999999998</v>
      </c>
      <c r="AZ72">
        <v>0.86299999999999999</v>
      </c>
      <c r="BA72">
        <v>0.74</v>
      </c>
      <c r="BB72" t="s">
        <v>86</v>
      </c>
      <c r="BC72">
        <v>0.86299999999999999</v>
      </c>
      <c r="BD72">
        <v>0.60399999999999998</v>
      </c>
      <c r="BE72">
        <v>0</v>
      </c>
      <c r="BF72">
        <v>0.27560000000000001</v>
      </c>
      <c r="BG72">
        <v>0</v>
      </c>
      <c r="BH72">
        <v>0.27649769600000002</v>
      </c>
      <c r="BI72">
        <v>0</v>
      </c>
      <c r="BJ72">
        <v>0.27560000000000001</v>
      </c>
      <c r="BK72" t="s">
        <v>76</v>
      </c>
      <c r="BL72" t="s">
        <v>329</v>
      </c>
    </row>
    <row r="73" spans="1:64" x14ac:dyDescent="0.55000000000000004">
      <c r="A73" t="s">
        <v>305</v>
      </c>
      <c r="B73">
        <v>1</v>
      </c>
      <c r="C73">
        <v>3</v>
      </c>
      <c r="D73">
        <v>1</v>
      </c>
      <c r="E73">
        <v>1</v>
      </c>
      <c r="F73">
        <v>1.3</v>
      </c>
      <c r="G73" t="s">
        <v>330</v>
      </c>
      <c r="H73" t="s">
        <v>307</v>
      </c>
      <c r="I73" t="s">
        <v>308</v>
      </c>
      <c r="J73">
        <v>2020</v>
      </c>
      <c r="K73" t="s">
        <v>272</v>
      </c>
      <c r="L73" t="s">
        <v>309</v>
      </c>
      <c r="M73" t="s">
        <v>108</v>
      </c>
      <c r="N73" t="s">
        <v>72</v>
      </c>
      <c r="O73" t="s">
        <v>310</v>
      </c>
      <c r="P73" t="str">
        <f>VLOOKUP(O73,Sheet3!$A$1:$B$22,2,0)</f>
        <v>Review Analysis</v>
      </c>
      <c r="Q73" t="s">
        <v>110</v>
      </c>
      <c r="R73" t="s">
        <v>75</v>
      </c>
      <c r="S73" t="s">
        <v>75</v>
      </c>
      <c r="T73" t="s">
        <v>75</v>
      </c>
      <c r="U73" t="s">
        <v>75</v>
      </c>
      <c r="V73" t="s">
        <v>76</v>
      </c>
      <c r="W73" t="s">
        <v>75</v>
      </c>
      <c r="X73" t="s">
        <v>135</v>
      </c>
      <c r="Y73" t="s">
        <v>135</v>
      </c>
      <c r="Z73" t="s">
        <v>77</v>
      </c>
      <c r="AA73" t="s">
        <v>78</v>
      </c>
      <c r="AB73" t="s">
        <v>110</v>
      </c>
      <c r="AC73" t="s">
        <v>110</v>
      </c>
      <c r="AD73" t="s">
        <v>545</v>
      </c>
      <c r="AE73" t="s">
        <v>79</v>
      </c>
      <c r="AF73" t="s">
        <v>75</v>
      </c>
      <c r="AG73" t="s">
        <v>331</v>
      </c>
      <c r="AH73" t="s">
        <v>76</v>
      </c>
      <c r="AI73" t="s">
        <v>75</v>
      </c>
      <c r="AJ73" t="s">
        <v>196</v>
      </c>
      <c r="AK73" t="s">
        <v>115</v>
      </c>
      <c r="AL73" t="s">
        <v>115</v>
      </c>
      <c r="AM73" t="s">
        <v>116</v>
      </c>
      <c r="AN73">
        <v>480</v>
      </c>
      <c r="AO73">
        <v>80</v>
      </c>
      <c r="AP73">
        <v>80</v>
      </c>
      <c r="AQ73" t="s">
        <v>84</v>
      </c>
      <c r="AR73" t="s">
        <v>84</v>
      </c>
      <c r="AS73" t="s">
        <v>85</v>
      </c>
      <c r="AT73" t="s">
        <v>75</v>
      </c>
      <c r="AU73" t="s">
        <v>76</v>
      </c>
      <c r="AV73">
        <v>0.54600000000000004</v>
      </c>
      <c r="AW73">
        <v>0.86299999999999999</v>
      </c>
      <c r="AX73">
        <v>0.64100000000000001</v>
      </c>
      <c r="AY73">
        <v>0.54600000000000004</v>
      </c>
      <c r="AZ73">
        <v>0.86299999999999999</v>
      </c>
      <c r="BA73">
        <v>0.64100000000000001</v>
      </c>
      <c r="BB73" t="s">
        <v>86</v>
      </c>
      <c r="BC73">
        <v>0.86299999999999999</v>
      </c>
      <c r="BD73">
        <v>0.54600000000000004</v>
      </c>
      <c r="BE73">
        <v>0</v>
      </c>
      <c r="BF73">
        <v>0.27560000000000001</v>
      </c>
      <c r="BG73">
        <v>0</v>
      </c>
      <c r="BH73">
        <v>0.53745092100000003</v>
      </c>
      <c r="BI73">
        <v>0</v>
      </c>
      <c r="BJ73">
        <v>0.27560000000000001</v>
      </c>
      <c r="BK73" t="s">
        <v>76</v>
      </c>
      <c r="BL73" t="s">
        <v>331</v>
      </c>
    </row>
    <row r="74" spans="1:64" x14ac:dyDescent="0.55000000000000004">
      <c r="A74" t="s">
        <v>305</v>
      </c>
      <c r="B74">
        <v>1</v>
      </c>
      <c r="C74">
        <v>3</v>
      </c>
      <c r="D74">
        <v>2</v>
      </c>
      <c r="E74">
        <v>1</v>
      </c>
      <c r="F74">
        <v>1.3</v>
      </c>
      <c r="G74" t="s">
        <v>332</v>
      </c>
      <c r="H74" t="s">
        <v>307</v>
      </c>
      <c r="I74" t="s">
        <v>308</v>
      </c>
      <c r="J74">
        <v>2020</v>
      </c>
      <c r="K74" t="s">
        <v>272</v>
      </c>
      <c r="L74" t="s">
        <v>309</v>
      </c>
      <c r="M74" t="s">
        <v>108</v>
      </c>
      <c r="N74" t="s">
        <v>72</v>
      </c>
      <c r="O74" t="s">
        <v>310</v>
      </c>
      <c r="P74" t="str">
        <f>VLOOKUP(O74,Sheet3!$A$1:$B$22,2,0)</f>
        <v>Review Analysis</v>
      </c>
      <c r="Q74" t="s">
        <v>110</v>
      </c>
      <c r="R74" t="s">
        <v>75</v>
      </c>
      <c r="S74" t="s">
        <v>75</v>
      </c>
      <c r="T74" t="s">
        <v>75</v>
      </c>
      <c r="U74" t="s">
        <v>75</v>
      </c>
      <c r="V74" t="s">
        <v>76</v>
      </c>
      <c r="W74" t="s">
        <v>75</v>
      </c>
      <c r="X74" t="s">
        <v>135</v>
      </c>
      <c r="Y74" t="s">
        <v>135</v>
      </c>
      <c r="Z74" t="s">
        <v>77</v>
      </c>
      <c r="AA74" t="s">
        <v>78</v>
      </c>
      <c r="AB74" t="s">
        <v>110</v>
      </c>
      <c r="AC74" t="s">
        <v>110</v>
      </c>
      <c r="AD74" t="s">
        <v>545</v>
      </c>
      <c r="AE74" t="s">
        <v>79</v>
      </c>
      <c r="AF74" t="s">
        <v>75</v>
      </c>
      <c r="AG74" t="s">
        <v>333</v>
      </c>
      <c r="AH74" t="s">
        <v>76</v>
      </c>
      <c r="AI74" t="s">
        <v>75</v>
      </c>
      <c r="AJ74" t="s">
        <v>196</v>
      </c>
      <c r="AK74" t="s">
        <v>115</v>
      </c>
      <c r="AL74" t="s">
        <v>115</v>
      </c>
      <c r="AM74" t="s">
        <v>116</v>
      </c>
      <c r="AN74">
        <v>480</v>
      </c>
      <c r="AO74">
        <v>80</v>
      </c>
      <c r="AP74">
        <v>80</v>
      </c>
      <c r="AQ74" t="s">
        <v>84</v>
      </c>
      <c r="AR74" t="s">
        <v>84</v>
      </c>
      <c r="AS74" t="s">
        <v>85</v>
      </c>
      <c r="AT74" t="s">
        <v>75</v>
      </c>
      <c r="AU74" t="s">
        <v>76</v>
      </c>
      <c r="AV74">
        <v>0.54600000000000004</v>
      </c>
      <c r="AW74">
        <v>0.86299999999999999</v>
      </c>
      <c r="AX74">
        <v>0.72799999999999998</v>
      </c>
      <c r="AY74">
        <v>0.54600000000000004</v>
      </c>
      <c r="AZ74">
        <v>0.86299999999999999</v>
      </c>
      <c r="BA74">
        <v>0.72799999999999998</v>
      </c>
      <c r="BB74" t="s">
        <v>86</v>
      </c>
      <c r="BC74">
        <v>0.86299999999999999</v>
      </c>
      <c r="BD74">
        <v>0.54600000000000004</v>
      </c>
      <c r="BE74">
        <v>0</v>
      </c>
      <c r="BF74">
        <v>0.27560000000000001</v>
      </c>
      <c r="BG74">
        <v>0</v>
      </c>
      <c r="BH74">
        <v>0.45997109200000003</v>
      </c>
      <c r="BI74">
        <v>0</v>
      </c>
      <c r="BJ74">
        <v>0.27560000000000001</v>
      </c>
      <c r="BK74" t="s">
        <v>76</v>
      </c>
      <c r="BL74" t="s">
        <v>333</v>
      </c>
    </row>
    <row r="75" spans="1:64" x14ac:dyDescent="0.55000000000000004">
      <c r="A75" t="s">
        <v>305</v>
      </c>
      <c r="B75">
        <v>1</v>
      </c>
      <c r="C75">
        <v>3</v>
      </c>
      <c r="D75">
        <v>3</v>
      </c>
      <c r="E75">
        <v>1</v>
      </c>
      <c r="F75">
        <v>1.3</v>
      </c>
      <c r="G75" t="s">
        <v>334</v>
      </c>
      <c r="H75" t="s">
        <v>307</v>
      </c>
      <c r="I75" t="s">
        <v>308</v>
      </c>
      <c r="J75">
        <v>2020</v>
      </c>
      <c r="K75" t="s">
        <v>272</v>
      </c>
      <c r="L75" t="s">
        <v>309</v>
      </c>
      <c r="M75" t="s">
        <v>108</v>
      </c>
      <c r="N75" t="s">
        <v>72</v>
      </c>
      <c r="O75" t="s">
        <v>310</v>
      </c>
      <c r="P75" t="str">
        <f>VLOOKUP(O75,Sheet3!$A$1:$B$22,2,0)</f>
        <v>Review Analysis</v>
      </c>
      <c r="Q75" t="s">
        <v>110</v>
      </c>
      <c r="R75" t="s">
        <v>75</v>
      </c>
      <c r="S75" t="s">
        <v>75</v>
      </c>
      <c r="T75" t="s">
        <v>75</v>
      </c>
      <c r="U75" t="s">
        <v>75</v>
      </c>
      <c r="V75" t="s">
        <v>76</v>
      </c>
      <c r="W75" t="s">
        <v>75</v>
      </c>
      <c r="X75" t="s">
        <v>135</v>
      </c>
      <c r="Y75" t="s">
        <v>135</v>
      </c>
      <c r="Z75" t="s">
        <v>77</v>
      </c>
      <c r="AA75" t="s">
        <v>112</v>
      </c>
      <c r="AB75" t="s">
        <v>110</v>
      </c>
      <c r="AC75" t="s">
        <v>110</v>
      </c>
      <c r="AD75" t="s">
        <v>112</v>
      </c>
      <c r="AE75" t="s">
        <v>79</v>
      </c>
      <c r="AF75" t="s">
        <v>75</v>
      </c>
      <c r="AG75" t="s">
        <v>335</v>
      </c>
      <c r="AH75" t="s">
        <v>76</v>
      </c>
      <c r="AI75" t="s">
        <v>75</v>
      </c>
      <c r="AJ75" t="s">
        <v>196</v>
      </c>
      <c r="AK75" t="s">
        <v>115</v>
      </c>
      <c r="AL75" t="s">
        <v>115</v>
      </c>
      <c r="AM75" t="s">
        <v>116</v>
      </c>
      <c r="AN75">
        <v>480</v>
      </c>
      <c r="AO75">
        <v>80</v>
      </c>
      <c r="AP75">
        <v>80</v>
      </c>
      <c r="AQ75" t="s">
        <v>84</v>
      </c>
      <c r="AR75" t="s">
        <v>84</v>
      </c>
      <c r="AS75" t="s">
        <v>85</v>
      </c>
      <c r="AT75" t="s">
        <v>75</v>
      </c>
      <c r="AU75" t="s">
        <v>76</v>
      </c>
      <c r="AV75">
        <v>0.54600000000000004</v>
      </c>
      <c r="AW75">
        <v>0.90900000000000003</v>
      </c>
      <c r="AX75">
        <v>0.54100000000000004</v>
      </c>
      <c r="AY75">
        <v>0.54600000000000004</v>
      </c>
      <c r="AZ75">
        <v>0.90900000000000003</v>
      </c>
      <c r="BA75">
        <v>0.54100000000000004</v>
      </c>
      <c r="BB75" t="s">
        <v>86</v>
      </c>
      <c r="BC75">
        <v>0.90900000000000003</v>
      </c>
      <c r="BD75">
        <v>0.54600000000000004</v>
      </c>
      <c r="BE75">
        <v>0</v>
      </c>
      <c r="BF75">
        <v>0.30430000000000001</v>
      </c>
      <c r="BG75">
        <v>0</v>
      </c>
      <c r="BH75">
        <v>0.399760538</v>
      </c>
      <c r="BI75">
        <v>0</v>
      </c>
      <c r="BJ75">
        <v>0.30430000000000001</v>
      </c>
      <c r="BK75" t="s">
        <v>76</v>
      </c>
      <c r="BL75" t="s">
        <v>335</v>
      </c>
    </row>
    <row r="76" spans="1:64" x14ac:dyDescent="0.55000000000000004">
      <c r="A76" t="s">
        <v>305</v>
      </c>
      <c r="B76">
        <v>1</v>
      </c>
      <c r="C76">
        <v>3</v>
      </c>
      <c r="D76">
        <v>4</v>
      </c>
      <c r="E76">
        <v>1</v>
      </c>
      <c r="F76">
        <v>1.3</v>
      </c>
      <c r="G76" t="s">
        <v>336</v>
      </c>
      <c r="H76" t="s">
        <v>307</v>
      </c>
      <c r="I76" t="s">
        <v>308</v>
      </c>
      <c r="J76">
        <v>2020</v>
      </c>
      <c r="K76" t="s">
        <v>272</v>
      </c>
      <c r="L76" t="s">
        <v>309</v>
      </c>
      <c r="M76" t="s">
        <v>108</v>
      </c>
      <c r="N76" t="s">
        <v>72</v>
      </c>
      <c r="O76" t="s">
        <v>310</v>
      </c>
      <c r="P76" t="str">
        <f>VLOOKUP(O76,Sheet3!$A$1:$B$22,2,0)</f>
        <v>Review Analysis</v>
      </c>
      <c r="Q76" t="s">
        <v>110</v>
      </c>
      <c r="R76" t="s">
        <v>75</v>
      </c>
      <c r="S76" t="s">
        <v>75</v>
      </c>
      <c r="T76" t="s">
        <v>75</v>
      </c>
      <c r="U76" t="s">
        <v>75</v>
      </c>
      <c r="V76" t="s">
        <v>76</v>
      </c>
      <c r="W76" t="s">
        <v>75</v>
      </c>
      <c r="X76" t="s">
        <v>135</v>
      </c>
      <c r="Y76" t="s">
        <v>135</v>
      </c>
      <c r="Z76" t="s">
        <v>77</v>
      </c>
      <c r="AA76" t="s">
        <v>112</v>
      </c>
      <c r="AB76" t="s">
        <v>110</v>
      </c>
      <c r="AC76" t="s">
        <v>110</v>
      </c>
      <c r="AD76" t="s">
        <v>112</v>
      </c>
      <c r="AE76" t="s">
        <v>79</v>
      </c>
      <c r="AF76" t="s">
        <v>75</v>
      </c>
      <c r="AG76" t="s">
        <v>337</v>
      </c>
      <c r="AH76" t="s">
        <v>76</v>
      </c>
      <c r="AI76" t="s">
        <v>75</v>
      </c>
      <c r="AJ76" t="s">
        <v>196</v>
      </c>
      <c r="AK76" t="s">
        <v>115</v>
      </c>
      <c r="AL76" t="s">
        <v>115</v>
      </c>
      <c r="AM76" t="s">
        <v>116</v>
      </c>
      <c r="AN76">
        <v>480</v>
      </c>
      <c r="AO76">
        <v>80</v>
      </c>
      <c r="AP76">
        <v>80</v>
      </c>
      <c r="AQ76" t="s">
        <v>84</v>
      </c>
      <c r="AR76" t="s">
        <v>84</v>
      </c>
      <c r="AS76" t="s">
        <v>85</v>
      </c>
      <c r="AT76" t="s">
        <v>75</v>
      </c>
      <c r="AU76" t="s">
        <v>76</v>
      </c>
      <c r="AV76">
        <v>0.54600000000000004</v>
      </c>
      <c r="AW76">
        <v>0.90900000000000003</v>
      </c>
      <c r="AX76">
        <v>0.58199999999999996</v>
      </c>
      <c r="AY76">
        <v>0.54600000000000004</v>
      </c>
      <c r="AZ76">
        <v>0.90900000000000003</v>
      </c>
      <c r="BA76">
        <v>0.58199999999999996</v>
      </c>
      <c r="BB76" t="s">
        <v>86</v>
      </c>
      <c r="BC76">
        <v>0.90900000000000003</v>
      </c>
      <c r="BD76">
        <v>0.54600000000000004</v>
      </c>
      <c r="BE76">
        <v>0</v>
      </c>
      <c r="BF76">
        <v>0.30430000000000001</v>
      </c>
      <c r="BG76">
        <v>0</v>
      </c>
      <c r="BH76">
        <v>0.36239590999999999</v>
      </c>
      <c r="BI76">
        <v>0</v>
      </c>
      <c r="BJ76">
        <v>0.30430000000000001</v>
      </c>
      <c r="BK76" t="s">
        <v>76</v>
      </c>
      <c r="BL76" t="s">
        <v>337</v>
      </c>
    </row>
    <row r="77" spans="1:64" x14ac:dyDescent="0.55000000000000004">
      <c r="A77" t="s">
        <v>305</v>
      </c>
      <c r="B77">
        <v>1</v>
      </c>
      <c r="C77">
        <v>3</v>
      </c>
      <c r="D77">
        <v>5</v>
      </c>
      <c r="E77">
        <v>1</v>
      </c>
      <c r="F77">
        <v>1.3</v>
      </c>
      <c r="G77" t="s">
        <v>338</v>
      </c>
      <c r="H77" t="s">
        <v>307</v>
      </c>
      <c r="I77" t="s">
        <v>308</v>
      </c>
      <c r="J77">
        <v>2020</v>
      </c>
      <c r="K77" t="s">
        <v>272</v>
      </c>
      <c r="L77" t="s">
        <v>309</v>
      </c>
      <c r="M77" t="s">
        <v>108</v>
      </c>
      <c r="N77" t="s">
        <v>72</v>
      </c>
      <c r="O77" t="s">
        <v>310</v>
      </c>
      <c r="P77" t="str">
        <f>VLOOKUP(O77,Sheet3!$A$1:$B$22,2,0)</f>
        <v>Review Analysis</v>
      </c>
      <c r="Q77" t="s">
        <v>110</v>
      </c>
      <c r="R77" t="s">
        <v>75</v>
      </c>
      <c r="S77" t="s">
        <v>75</v>
      </c>
      <c r="T77" t="s">
        <v>75</v>
      </c>
      <c r="U77" t="s">
        <v>75</v>
      </c>
      <c r="V77" t="s">
        <v>76</v>
      </c>
      <c r="W77" t="s">
        <v>75</v>
      </c>
      <c r="X77" t="s">
        <v>135</v>
      </c>
      <c r="Y77" t="s">
        <v>135</v>
      </c>
      <c r="Z77" t="s">
        <v>77</v>
      </c>
      <c r="AA77" t="s">
        <v>112</v>
      </c>
      <c r="AB77" t="s">
        <v>110</v>
      </c>
      <c r="AC77" t="s">
        <v>110</v>
      </c>
      <c r="AD77" t="s">
        <v>112</v>
      </c>
      <c r="AE77" t="s">
        <v>79</v>
      </c>
      <c r="AF77" t="s">
        <v>75</v>
      </c>
      <c r="AG77" t="s">
        <v>339</v>
      </c>
      <c r="AH77" t="s">
        <v>76</v>
      </c>
      <c r="AI77" t="s">
        <v>75</v>
      </c>
      <c r="AJ77" t="s">
        <v>196</v>
      </c>
      <c r="AK77" t="s">
        <v>115</v>
      </c>
      <c r="AL77" t="s">
        <v>115</v>
      </c>
      <c r="AM77" t="s">
        <v>116</v>
      </c>
      <c r="AN77">
        <v>480</v>
      </c>
      <c r="AO77">
        <v>80</v>
      </c>
      <c r="AP77">
        <v>80</v>
      </c>
      <c r="AQ77" t="s">
        <v>84</v>
      </c>
      <c r="AR77" t="s">
        <v>84</v>
      </c>
      <c r="AS77" t="s">
        <v>85</v>
      </c>
      <c r="AT77" t="s">
        <v>75</v>
      </c>
      <c r="AU77" t="s">
        <v>76</v>
      </c>
      <c r="AV77">
        <v>0.54600000000000004</v>
      </c>
      <c r="AW77">
        <v>0.90900000000000003</v>
      </c>
      <c r="AX77">
        <v>0.59199999999999997</v>
      </c>
      <c r="AY77">
        <v>0.54600000000000004</v>
      </c>
      <c r="AZ77">
        <v>0.90900000000000003</v>
      </c>
      <c r="BA77">
        <v>0.59199999999999997</v>
      </c>
      <c r="BB77" t="s">
        <v>86</v>
      </c>
      <c r="BC77">
        <v>0.90900000000000003</v>
      </c>
      <c r="BD77">
        <v>0.54600000000000004</v>
      </c>
      <c r="BE77">
        <v>0</v>
      </c>
      <c r="BF77">
        <v>0.30430000000000001</v>
      </c>
      <c r="BG77">
        <v>0</v>
      </c>
      <c r="BH77">
        <v>0.35042283299999999</v>
      </c>
      <c r="BI77">
        <v>0</v>
      </c>
      <c r="BJ77">
        <v>0.30430000000000001</v>
      </c>
      <c r="BK77" t="s">
        <v>76</v>
      </c>
      <c r="BL77" t="s">
        <v>339</v>
      </c>
    </row>
    <row r="78" spans="1:64" x14ac:dyDescent="0.55000000000000004">
      <c r="A78" t="s">
        <v>305</v>
      </c>
      <c r="B78">
        <v>1</v>
      </c>
      <c r="C78">
        <v>3</v>
      </c>
      <c r="D78">
        <v>6</v>
      </c>
      <c r="E78">
        <v>1</v>
      </c>
      <c r="F78">
        <v>1.3</v>
      </c>
      <c r="G78" t="s">
        <v>340</v>
      </c>
      <c r="H78" t="s">
        <v>307</v>
      </c>
      <c r="I78" t="s">
        <v>308</v>
      </c>
      <c r="J78">
        <v>2020</v>
      </c>
      <c r="K78" t="s">
        <v>272</v>
      </c>
      <c r="L78" t="s">
        <v>309</v>
      </c>
      <c r="M78" t="s">
        <v>108</v>
      </c>
      <c r="N78" t="s">
        <v>72</v>
      </c>
      <c r="O78" t="s">
        <v>310</v>
      </c>
      <c r="P78" t="str">
        <f>VLOOKUP(O78,Sheet3!$A$1:$B$22,2,0)</f>
        <v>Review Analysis</v>
      </c>
      <c r="Q78" t="s">
        <v>110</v>
      </c>
      <c r="R78" t="s">
        <v>75</v>
      </c>
      <c r="S78" t="s">
        <v>75</v>
      </c>
      <c r="T78" t="s">
        <v>75</v>
      </c>
      <c r="U78" t="s">
        <v>75</v>
      </c>
      <c r="V78" t="s">
        <v>76</v>
      </c>
      <c r="W78" t="s">
        <v>75</v>
      </c>
      <c r="X78" t="s">
        <v>135</v>
      </c>
      <c r="Y78" t="s">
        <v>135</v>
      </c>
      <c r="Z78" t="s">
        <v>77</v>
      </c>
      <c r="AA78" t="s">
        <v>112</v>
      </c>
      <c r="AB78" t="s">
        <v>110</v>
      </c>
      <c r="AC78" t="s">
        <v>110</v>
      </c>
      <c r="AD78" t="s">
        <v>112</v>
      </c>
      <c r="AE78" t="s">
        <v>79</v>
      </c>
      <c r="AF78" t="s">
        <v>75</v>
      </c>
      <c r="AG78" t="s">
        <v>341</v>
      </c>
      <c r="AH78" t="s">
        <v>76</v>
      </c>
      <c r="AI78" t="s">
        <v>75</v>
      </c>
      <c r="AJ78" t="s">
        <v>196</v>
      </c>
      <c r="AK78" t="s">
        <v>115</v>
      </c>
      <c r="AL78" t="s">
        <v>115</v>
      </c>
      <c r="AM78" t="s">
        <v>116</v>
      </c>
      <c r="AN78">
        <v>480</v>
      </c>
      <c r="AO78">
        <v>80</v>
      </c>
      <c r="AP78">
        <v>80</v>
      </c>
      <c r="AQ78" t="s">
        <v>84</v>
      </c>
      <c r="AR78" t="s">
        <v>84</v>
      </c>
      <c r="AS78" t="s">
        <v>85</v>
      </c>
      <c r="AT78" t="s">
        <v>75</v>
      </c>
      <c r="AU78" t="s">
        <v>76</v>
      </c>
      <c r="AV78">
        <v>0.54600000000000004</v>
      </c>
      <c r="AW78">
        <v>0.90900000000000003</v>
      </c>
      <c r="AX78">
        <v>0.64900000000000002</v>
      </c>
      <c r="AY78">
        <v>0.54600000000000004</v>
      </c>
      <c r="AZ78">
        <v>0.90900000000000003</v>
      </c>
      <c r="BA78">
        <v>0.64900000000000002</v>
      </c>
      <c r="BB78" t="s">
        <v>86</v>
      </c>
      <c r="BC78">
        <v>0.90900000000000003</v>
      </c>
      <c r="BD78">
        <v>0.54600000000000004</v>
      </c>
      <c r="BE78">
        <v>0</v>
      </c>
      <c r="BF78">
        <v>0.30430000000000001</v>
      </c>
      <c r="BG78">
        <v>0</v>
      </c>
      <c r="BH78">
        <v>0.32790050500000001</v>
      </c>
      <c r="BI78">
        <v>0</v>
      </c>
      <c r="BJ78">
        <v>0.30430000000000001</v>
      </c>
      <c r="BK78" t="s">
        <v>76</v>
      </c>
      <c r="BL78" t="s">
        <v>341</v>
      </c>
    </row>
    <row r="79" spans="1:64" x14ac:dyDescent="0.55000000000000004">
      <c r="A79" t="s">
        <v>342</v>
      </c>
      <c r="B79">
        <v>3</v>
      </c>
      <c r="C79">
        <v>1</v>
      </c>
      <c r="D79">
        <v>1</v>
      </c>
      <c r="E79">
        <v>1</v>
      </c>
      <c r="F79">
        <v>3.1</v>
      </c>
      <c r="G79" t="s">
        <v>343</v>
      </c>
      <c r="H79" t="s">
        <v>344</v>
      </c>
      <c r="I79" t="s">
        <v>345</v>
      </c>
      <c r="J79">
        <v>2020</v>
      </c>
      <c r="K79" t="s">
        <v>272</v>
      </c>
      <c r="L79" t="s">
        <v>346</v>
      </c>
      <c r="M79" t="s">
        <v>108</v>
      </c>
      <c r="N79" t="s">
        <v>72</v>
      </c>
      <c r="O79" t="s">
        <v>347</v>
      </c>
      <c r="P79" t="str">
        <f>VLOOKUP(O79,Sheet3!$A$1:$B$22,2,0)</f>
        <v>Customer Service</v>
      </c>
      <c r="Q79" t="s">
        <v>110</v>
      </c>
      <c r="R79" t="s">
        <v>75</v>
      </c>
      <c r="S79" t="s">
        <v>75</v>
      </c>
      <c r="T79" t="s">
        <v>75</v>
      </c>
      <c r="U79" t="s">
        <v>75</v>
      </c>
      <c r="V79" t="s">
        <v>76</v>
      </c>
      <c r="W79" t="s">
        <v>75</v>
      </c>
      <c r="X79" t="s">
        <v>110</v>
      </c>
      <c r="Y79" t="s">
        <v>348</v>
      </c>
      <c r="Z79" t="s">
        <v>349</v>
      </c>
      <c r="AA79" t="s">
        <v>112</v>
      </c>
      <c r="AB79" t="s">
        <v>110</v>
      </c>
      <c r="AC79" t="s">
        <v>110</v>
      </c>
      <c r="AD79" t="s">
        <v>112</v>
      </c>
      <c r="AE79" t="s">
        <v>79</v>
      </c>
      <c r="AF79" t="s">
        <v>75</v>
      </c>
      <c r="AG79" t="s">
        <v>350</v>
      </c>
      <c r="AH79" t="s">
        <v>75</v>
      </c>
      <c r="AI79" t="s">
        <v>75</v>
      </c>
      <c r="AK79" t="s">
        <v>351</v>
      </c>
      <c r="AL79" t="s">
        <v>352</v>
      </c>
      <c r="AM79" t="s">
        <v>116</v>
      </c>
      <c r="AN79">
        <v>140</v>
      </c>
      <c r="AO79">
        <v>20</v>
      </c>
      <c r="AP79">
        <v>20</v>
      </c>
      <c r="AQ79" t="s">
        <v>84</v>
      </c>
      <c r="AR79" t="s">
        <v>84</v>
      </c>
      <c r="AS79" t="s">
        <v>85</v>
      </c>
      <c r="AT79" t="s">
        <v>75</v>
      </c>
      <c r="AU79" t="s">
        <v>76</v>
      </c>
      <c r="AV79">
        <v>2.72</v>
      </c>
      <c r="AW79">
        <v>2.81</v>
      </c>
      <c r="AX79">
        <v>2.85</v>
      </c>
      <c r="AY79">
        <v>2.72</v>
      </c>
      <c r="AZ79">
        <v>2.81</v>
      </c>
      <c r="BA79">
        <v>2.85</v>
      </c>
      <c r="BB79" t="s">
        <v>86</v>
      </c>
      <c r="BC79">
        <v>2.81</v>
      </c>
      <c r="BD79">
        <v>2.72</v>
      </c>
      <c r="BE79">
        <v>1</v>
      </c>
      <c r="BF79">
        <v>0.1</v>
      </c>
      <c r="BG79">
        <v>5.2094216999999998E-2</v>
      </c>
      <c r="BH79">
        <v>9.0961978999999998E-2</v>
      </c>
      <c r="BI79">
        <v>5.2094216999999998E-2</v>
      </c>
      <c r="BJ79">
        <v>0.1</v>
      </c>
      <c r="BK79" t="s">
        <v>76</v>
      </c>
      <c r="BL79" t="s">
        <v>350</v>
      </c>
    </row>
    <row r="80" spans="1:64" x14ac:dyDescent="0.55000000000000004">
      <c r="A80" t="s">
        <v>342</v>
      </c>
      <c r="B80">
        <v>3</v>
      </c>
      <c r="C80">
        <v>1</v>
      </c>
      <c r="D80">
        <v>2</v>
      </c>
      <c r="E80">
        <v>1</v>
      </c>
      <c r="F80">
        <v>3.1</v>
      </c>
      <c r="G80" t="s">
        <v>353</v>
      </c>
      <c r="H80" t="s">
        <v>344</v>
      </c>
      <c r="I80" t="s">
        <v>345</v>
      </c>
      <c r="J80">
        <v>2020</v>
      </c>
      <c r="K80" t="s">
        <v>272</v>
      </c>
      <c r="L80" t="s">
        <v>346</v>
      </c>
      <c r="M80" t="s">
        <v>108</v>
      </c>
      <c r="N80" t="s">
        <v>72</v>
      </c>
      <c r="O80" t="s">
        <v>347</v>
      </c>
      <c r="P80" t="str">
        <f>VLOOKUP(O80,Sheet3!$A$1:$B$22,2,0)</f>
        <v>Customer Service</v>
      </c>
      <c r="Q80" t="s">
        <v>110</v>
      </c>
      <c r="R80" t="s">
        <v>75</v>
      </c>
      <c r="S80" t="s">
        <v>75</v>
      </c>
      <c r="T80" t="s">
        <v>75</v>
      </c>
      <c r="U80" t="s">
        <v>75</v>
      </c>
      <c r="V80" t="s">
        <v>76</v>
      </c>
      <c r="W80" t="s">
        <v>75</v>
      </c>
      <c r="X80" t="s">
        <v>110</v>
      </c>
      <c r="Y80" t="s">
        <v>348</v>
      </c>
      <c r="Z80" t="s">
        <v>349</v>
      </c>
      <c r="AA80" t="s">
        <v>112</v>
      </c>
      <c r="AB80" t="s">
        <v>110</v>
      </c>
      <c r="AC80" t="s">
        <v>110</v>
      </c>
      <c r="AD80" t="s">
        <v>112</v>
      </c>
      <c r="AE80" t="s">
        <v>79</v>
      </c>
      <c r="AF80" t="s">
        <v>75</v>
      </c>
      <c r="AG80" t="s">
        <v>354</v>
      </c>
      <c r="AH80" t="s">
        <v>75</v>
      </c>
      <c r="AI80" t="s">
        <v>75</v>
      </c>
      <c r="AK80" t="s">
        <v>351</v>
      </c>
      <c r="AL80" t="s">
        <v>352</v>
      </c>
      <c r="AM80" t="s">
        <v>116</v>
      </c>
      <c r="AN80">
        <v>140</v>
      </c>
      <c r="AO80">
        <v>20</v>
      </c>
      <c r="AP80">
        <v>20</v>
      </c>
      <c r="AQ80" t="s">
        <v>84</v>
      </c>
      <c r="AR80" t="s">
        <v>84</v>
      </c>
      <c r="AS80" t="s">
        <v>85</v>
      </c>
      <c r="AT80" t="s">
        <v>75</v>
      </c>
      <c r="AU80" t="s">
        <v>76</v>
      </c>
      <c r="AV80">
        <v>2.72</v>
      </c>
      <c r="AW80">
        <v>2.83</v>
      </c>
      <c r="AX80">
        <v>2.83</v>
      </c>
      <c r="AY80">
        <v>2.72</v>
      </c>
      <c r="AZ80">
        <v>2.83</v>
      </c>
      <c r="BA80">
        <v>2.83</v>
      </c>
      <c r="BB80" t="s">
        <v>86</v>
      </c>
      <c r="BC80">
        <v>2.83</v>
      </c>
      <c r="BD80">
        <v>2.72</v>
      </c>
      <c r="BE80">
        <v>0</v>
      </c>
      <c r="BF80">
        <v>0.1</v>
      </c>
      <c r="BG80">
        <v>6.7733639999999998E-2</v>
      </c>
      <c r="BH80">
        <v>9.3629289000000004E-2</v>
      </c>
      <c r="BI80">
        <v>6.7733639999999998E-2</v>
      </c>
      <c r="BJ80">
        <v>0.1</v>
      </c>
      <c r="BK80" t="s">
        <v>76</v>
      </c>
      <c r="BL80" t="s">
        <v>354</v>
      </c>
    </row>
    <row r="81" spans="1:64" x14ac:dyDescent="0.55000000000000004">
      <c r="A81" t="s">
        <v>342</v>
      </c>
      <c r="B81">
        <v>3</v>
      </c>
      <c r="C81">
        <v>1</v>
      </c>
      <c r="D81">
        <v>3</v>
      </c>
      <c r="E81">
        <v>1</v>
      </c>
      <c r="F81">
        <v>3.1</v>
      </c>
      <c r="G81" t="s">
        <v>355</v>
      </c>
      <c r="H81" t="s">
        <v>344</v>
      </c>
      <c r="I81" t="s">
        <v>345</v>
      </c>
      <c r="J81">
        <v>2020</v>
      </c>
      <c r="K81" t="s">
        <v>272</v>
      </c>
      <c r="L81" t="s">
        <v>346</v>
      </c>
      <c r="M81" t="s">
        <v>108</v>
      </c>
      <c r="N81" t="s">
        <v>72</v>
      </c>
      <c r="O81" t="s">
        <v>347</v>
      </c>
      <c r="P81" t="str">
        <f>VLOOKUP(O81,Sheet3!$A$1:$B$22,2,0)</f>
        <v>Customer Service</v>
      </c>
      <c r="Q81" t="s">
        <v>110</v>
      </c>
      <c r="R81" t="s">
        <v>75</v>
      </c>
      <c r="S81" t="s">
        <v>75</v>
      </c>
      <c r="T81" t="s">
        <v>75</v>
      </c>
      <c r="U81" t="s">
        <v>75</v>
      </c>
      <c r="V81" t="s">
        <v>76</v>
      </c>
      <c r="W81" t="s">
        <v>75</v>
      </c>
      <c r="X81" t="s">
        <v>110</v>
      </c>
      <c r="Y81" t="s">
        <v>348</v>
      </c>
      <c r="Z81" t="s">
        <v>349</v>
      </c>
      <c r="AA81" t="s">
        <v>112</v>
      </c>
      <c r="AB81" t="s">
        <v>110</v>
      </c>
      <c r="AC81" t="s">
        <v>110</v>
      </c>
      <c r="AD81" t="s">
        <v>112</v>
      </c>
      <c r="AE81" t="s">
        <v>79</v>
      </c>
      <c r="AF81" t="s">
        <v>75</v>
      </c>
      <c r="AG81" t="s">
        <v>356</v>
      </c>
      <c r="AH81" t="s">
        <v>75</v>
      </c>
      <c r="AI81" t="s">
        <v>75</v>
      </c>
      <c r="AK81" t="s">
        <v>351</v>
      </c>
      <c r="AL81" t="s">
        <v>352</v>
      </c>
      <c r="AM81" t="s">
        <v>116</v>
      </c>
      <c r="AN81">
        <v>140</v>
      </c>
      <c r="AO81">
        <v>20</v>
      </c>
      <c r="AP81">
        <v>20</v>
      </c>
      <c r="AQ81" t="s">
        <v>84</v>
      </c>
      <c r="AR81" t="s">
        <v>84</v>
      </c>
      <c r="AS81" t="s">
        <v>85</v>
      </c>
      <c r="AT81" t="s">
        <v>75</v>
      </c>
      <c r="AU81" t="s">
        <v>76</v>
      </c>
      <c r="AV81">
        <v>2.72</v>
      </c>
      <c r="AW81">
        <v>2.83</v>
      </c>
      <c r="AX81">
        <v>2.81</v>
      </c>
      <c r="AY81">
        <v>2.72</v>
      </c>
      <c r="AZ81">
        <v>2.83</v>
      </c>
      <c r="BA81">
        <v>2.81</v>
      </c>
      <c r="BB81" t="s">
        <v>86</v>
      </c>
      <c r="BC81">
        <v>2.83</v>
      </c>
      <c r="BD81">
        <v>2.72</v>
      </c>
      <c r="BE81">
        <v>0</v>
      </c>
      <c r="BF81">
        <v>0.1</v>
      </c>
      <c r="BG81">
        <v>5.6618080000000001E-2</v>
      </c>
      <c r="BH81">
        <v>8.1824096999999998E-2</v>
      </c>
      <c r="BI81">
        <v>5.6618080000000001E-2</v>
      </c>
      <c r="BJ81">
        <v>0.1</v>
      </c>
      <c r="BK81" t="s">
        <v>76</v>
      </c>
      <c r="BL81" t="s">
        <v>356</v>
      </c>
    </row>
    <row r="82" spans="1:64" x14ac:dyDescent="0.55000000000000004">
      <c r="A82" t="s">
        <v>342</v>
      </c>
      <c r="B82">
        <v>3</v>
      </c>
      <c r="C82">
        <v>1</v>
      </c>
      <c r="D82">
        <v>4</v>
      </c>
      <c r="E82">
        <v>1</v>
      </c>
      <c r="F82">
        <v>3.1</v>
      </c>
      <c r="G82" t="s">
        <v>357</v>
      </c>
      <c r="H82" t="s">
        <v>344</v>
      </c>
      <c r="I82" t="s">
        <v>345</v>
      </c>
      <c r="J82">
        <v>2020</v>
      </c>
      <c r="K82" t="s">
        <v>272</v>
      </c>
      <c r="L82" t="s">
        <v>346</v>
      </c>
      <c r="M82" t="s">
        <v>108</v>
      </c>
      <c r="N82" t="s">
        <v>72</v>
      </c>
      <c r="O82" t="s">
        <v>347</v>
      </c>
      <c r="P82" t="str">
        <f>VLOOKUP(O82,Sheet3!$A$1:$B$22,2,0)</f>
        <v>Customer Service</v>
      </c>
      <c r="Q82" t="s">
        <v>110</v>
      </c>
      <c r="R82" t="s">
        <v>75</v>
      </c>
      <c r="S82" t="s">
        <v>75</v>
      </c>
      <c r="T82" t="s">
        <v>75</v>
      </c>
      <c r="U82" t="s">
        <v>75</v>
      </c>
      <c r="V82" t="s">
        <v>76</v>
      </c>
      <c r="W82" t="s">
        <v>75</v>
      </c>
      <c r="X82" t="s">
        <v>110</v>
      </c>
      <c r="Y82" t="s">
        <v>348</v>
      </c>
      <c r="Z82" t="s">
        <v>349</v>
      </c>
      <c r="AA82" t="s">
        <v>112</v>
      </c>
      <c r="AB82" t="s">
        <v>110</v>
      </c>
      <c r="AC82" t="s">
        <v>110</v>
      </c>
      <c r="AD82" t="s">
        <v>112</v>
      </c>
      <c r="AE82" t="s">
        <v>79</v>
      </c>
      <c r="AF82" t="s">
        <v>75</v>
      </c>
      <c r="AG82" t="s">
        <v>358</v>
      </c>
      <c r="AH82" t="s">
        <v>75</v>
      </c>
      <c r="AI82" t="s">
        <v>75</v>
      </c>
      <c r="AK82" t="s">
        <v>351</v>
      </c>
      <c r="AL82" t="s">
        <v>352</v>
      </c>
      <c r="AM82" t="s">
        <v>116</v>
      </c>
      <c r="AN82">
        <v>140</v>
      </c>
      <c r="AO82">
        <v>20</v>
      </c>
      <c r="AP82">
        <v>20</v>
      </c>
      <c r="AQ82" t="s">
        <v>84</v>
      </c>
      <c r="AR82" t="s">
        <v>84</v>
      </c>
      <c r="AS82" t="s">
        <v>85</v>
      </c>
      <c r="AT82" t="s">
        <v>75</v>
      </c>
      <c r="AU82" t="s">
        <v>76</v>
      </c>
      <c r="AV82">
        <v>2.72</v>
      </c>
      <c r="AW82">
        <v>2.84</v>
      </c>
      <c r="AX82">
        <v>2.81</v>
      </c>
      <c r="AY82">
        <v>2.72</v>
      </c>
      <c r="AZ82">
        <v>2.84</v>
      </c>
      <c r="BA82">
        <v>2.81</v>
      </c>
      <c r="BB82" t="s">
        <v>86</v>
      </c>
      <c r="BC82">
        <v>2.84</v>
      </c>
      <c r="BD82">
        <v>2.72</v>
      </c>
      <c r="BE82">
        <v>0</v>
      </c>
      <c r="BF82">
        <v>0.1</v>
      </c>
      <c r="BG82">
        <v>4.6323672000000003E-2</v>
      </c>
      <c r="BH82">
        <v>6.2016551000000003E-2</v>
      </c>
      <c r="BI82">
        <v>4.6323672000000003E-2</v>
      </c>
      <c r="BJ82">
        <v>0.1</v>
      </c>
      <c r="BK82" t="s">
        <v>76</v>
      </c>
      <c r="BL82" t="s">
        <v>358</v>
      </c>
    </row>
    <row r="83" spans="1:64" x14ac:dyDescent="0.55000000000000004">
      <c r="A83" t="s">
        <v>342</v>
      </c>
      <c r="B83">
        <v>3</v>
      </c>
      <c r="C83">
        <v>1</v>
      </c>
      <c r="D83">
        <v>5</v>
      </c>
      <c r="E83">
        <v>1</v>
      </c>
      <c r="F83">
        <v>3.1</v>
      </c>
      <c r="G83" t="s">
        <v>359</v>
      </c>
      <c r="H83" t="s">
        <v>344</v>
      </c>
      <c r="I83" t="s">
        <v>345</v>
      </c>
      <c r="J83">
        <v>2020</v>
      </c>
      <c r="K83" t="s">
        <v>272</v>
      </c>
      <c r="L83" t="s">
        <v>346</v>
      </c>
      <c r="M83" t="s">
        <v>108</v>
      </c>
      <c r="N83" t="s">
        <v>72</v>
      </c>
      <c r="O83" t="s">
        <v>347</v>
      </c>
      <c r="P83" t="str">
        <f>VLOOKUP(O83,Sheet3!$A$1:$B$22,2,0)</f>
        <v>Customer Service</v>
      </c>
      <c r="Q83" t="s">
        <v>110</v>
      </c>
      <c r="R83" t="s">
        <v>75</v>
      </c>
      <c r="S83" t="s">
        <v>75</v>
      </c>
      <c r="T83" t="s">
        <v>75</v>
      </c>
      <c r="U83" t="s">
        <v>75</v>
      </c>
      <c r="V83" t="s">
        <v>76</v>
      </c>
      <c r="W83" t="s">
        <v>75</v>
      </c>
      <c r="X83" t="s">
        <v>110</v>
      </c>
      <c r="Y83" t="s">
        <v>348</v>
      </c>
      <c r="Z83" t="s">
        <v>349</v>
      </c>
      <c r="AA83" t="s">
        <v>112</v>
      </c>
      <c r="AB83" t="s">
        <v>110</v>
      </c>
      <c r="AC83" t="s">
        <v>110</v>
      </c>
      <c r="AD83" t="s">
        <v>112</v>
      </c>
      <c r="AE83" t="s">
        <v>79</v>
      </c>
      <c r="AF83" t="s">
        <v>75</v>
      </c>
      <c r="AG83" t="s">
        <v>360</v>
      </c>
      <c r="AH83" t="s">
        <v>75</v>
      </c>
      <c r="AI83" t="s">
        <v>75</v>
      </c>
      <c r="AK83" t="s">
        <v>351</v>
      </c>
      <c r="AL83" t="s">
        <v>352</v>
      </c>
      <c r="AM83" t="s">
        <v>116</v>
      </c>
      <c r="AN83">
        <v>140</v>
      </c>
      <c r="AO83">
        <v>20</v>
      </c>
      <c r="AP83">
        <v>20</v>
      </c>
      <c r="AQ83" t="s">
        <v>84</v>
      </c>
      <c r="AR83" t="s">
        <v>84</v>
      </c>
      <c r="AS83" t="s">
        <v>85</v>
      </c>
      <c r="AT83" t="s">
        <v>75</v>
      </c>
      <c r="AU83" t="s">
        <v>76</v>
      </c>
      <c r="AV83">
        <v>2.72</v>
      </c>
      <c r="AW83">
        <v>2.79</v>
      </c>
      <c r="AX83">
        <v>2.89</v>
      </c>
      <c r="AY83">
        <v>2.72</v>
      </c>
      <c r="AZ83">
        <v>2.79</v>
      </c>
      <c r="BA83">
        <v>2.89</v>
      </c>
      <c r="BB83" t="s">
        <v>86</v>
      </c>
      <c r="BC83">
        <v>2.79</v>
      </c>
      <c r="BD83">
        <v>2.72</v>
      </c>
      <c r="BE83">
        <v>1</v>
      </c>
      <c r="BF83">
        <v>0.1</v>
      </c>
      <c r="BG83">
        <v>5.5015658000000002E-2</v>
      </c>
      <c r="BH83">
        <v>5.9477154999999997E-2</v>
      </c>
      <c r="BI83">
        <v>5.5015658000000002E-2</v>
      </c>
      <c r="BJ83">
        <v>0.1</v>
      </c>
      <c r="BK83" t="s">
        <v>76</v>
      </c>
      <c r="BL83" t="s">
        <v>360</v>
      </c>
    </row>
    <row r="84" spans="1:64" x14ac:dyDescent="0.55000000000000004">
      <c r="A84" t="s">
        <v>342</v>
      </c>
      <c r="B84">
        <v>3</v>
      </c>
      <c r="C84">
        <v>1</v>
      </c>
      <c r="D84">
        <v>6</v>
      </c>
      <c r="E84">
        <v>1</v>
      </c>
      <c r="F84">
        <v>3.1</v>
      </c>
      <c r="G84" t="s">
        <v>361</v>
      </c>
      <c r="H84" t="s">
        <v>344</v>
      </c>
      <c r="I84" t="s">
        <v>345</v>
      </c>
      <c r="J84">
        <v>2020</v>
      </c>
      <c r="K84" t="s">
        <v>272</v>
      </c>
      <c r="L84" t="s">
        <v>346</v>
      </c>
      <c r="M84" t="s">
        <v>108</v>
      </c>
      <c r="N84" t="s">
        <v>72</v>
      </c>
      <c r="O84" t="s">
        <v>347</v>
      </c>
      <c r="P84" t="str">
        <f>VLOOKUP(O84,Sheet3!$A$1:$B$22,2,0)</f>
        <v>Customer Service</v>
      </c>
      <c r="Q84" t="s">
        <v>110</v>
      </c>
      <c r="R84" t="s">
        <v>75</v>
      </c>
      <c r="S84" t="s">
        <v>75</v>
      </c>
      <c r="T84" t="s">
        <v>75</v>
      </c>
      <c r="U84" t="s">
        <v>75</v>
      </c>
      <c r="V84" t="s">
        <v>76</v>
      </c>
      <c r="W84" t="s">
        <v>75</v>
      </c>
      <c r="X84" t="s">
        <v>110</v>
      </c>
      <c r="Y84" t="s">
        <v>348</v>
      </c>
      <c r="Z84" t="s">
        <v>349</v>
      </c>
      <c r="AA84" t="s">
        <v>112</v>
      </c>
      <c r="AB84" t="s">
        <v>110</v>
      </c>
      <c r="AC84" t="s">
        <v>110</v>
      </c>
      <c r="AD84" t="s">
        <v>112</v>
      </c>
      <c r="AE84" t="s">
        <v>79</v>
      </c>
      <c r="AF84" t="s">
        <v>75</v>
      </c>
      <c r="AG84" t="s">
        <v>362</v>
      </c>
      <c r="AH84" t="s">
        <v>75</v>
      </c>
      <c r="AI84" t="s">
        <v>75</v>
      </c>
      <c r="AK84" t="s">
        <v>351</v>
      </c>
      <c r="AL84" t="s">
        <v>352</v>
      </c>
      <c r="AM84" t="s">
        <v>116</v>
      </c>
      <c r="AN84">
        <v>140</v>
      </c>
      <c r="AO84">
        <v>20</v>
      </c>
      <c r="AP84">
        <v>20</v>
      </c>
      <c r="AQ84" t="s">
        <v>84</v>
      </c>
      <c r="AR84" t="s">
        <v>84</v>
      </c>
      <c r="AS84" t="s">
        <v>85</v>
      </c>
      <c r="AT84" t="s">
        <v>75</v>
      </c>
      <c r="AU84" t="s">
        <v>76</v>
      </c>
      <c r="AV84">
        <v>2.72</v>
      </c>
      <c r="AW84">
        <v>2.83</v>
      </c>
      <c r="AX84">
        <v>2.87</v>
      </c>
      <c r="AY84">
        <v>2.72</v>
      </c>
      <c r="AZ84">
        <v>2.83</v>
      </c>
      <c r="BA84">
        <v>2.87</v>
      </c>
      <c r="BB84" t="s">
        <v>86</v>
      </c>
      <c r="BC84">
        <v>2.83</v>
      </c>
      <c r="BD84">
        <v>2.72</v>
      </c>
      <c r="BE84">
        <v>1</v>
      </c>
      <c r="BF84">
        <v>0.1</v>
      </c>
      <c r="BG84">
        <v>6.3712947000000006E-2</v>
      </c>
      <c r="BH84">
        <v>7.3732012E-2</v>
      </c>
      <c r="BI84">
        <v>6.3712947000000006E-2</v>
      </c>
      <c r="BJ84">
        <v>0.1</v>
      </c>
      <c r="BK84" t="s">
        <v>76</v>
      </c>
      <c r="BL84" t="s">
        <v>362</v>
      </c>
    </row>
    <row r="85" spans="1:64" x14ac:dyDescent="0.55000000000000004">
      <c r="A85" t="s">
        <v>104</v>
      </c>
      <c r="B85">
        <v>6</v>
      </c>
      <c r="C85">
        <v>1</v>
      </c>
      <c r="D85">
        <v>1</v>
      </c>
      <c r="E85">
        <v>1</v>
      </c>
      <c r="F85">
        <v>6.1</v>
      </c>
      <c r="G85" t="s">
        <v>363</v>
      </c>
      <c r="H85" t="s">
        <v>106</v>
      </c>
      <c r="I85" t="s">
        <v>107</v>
      </c>
      <c r="J85">
        <v>2021</v>
      </c>
      <c r="K85" t="s">
        <v>272</v>
      </c>
      <c r="L85" t="s">
        <v>70</v>
      </c>
      <c r="M85" t="s">
        <v>108</v>
      </c>
      <c r="N85" t="s">
        <v>72</v>
      </c>
      <c r="O85" t="s">
        <v>364</v>
      </c>
      <c r="P85" t="str">
        <f>VLOOKUP(O85,Sheet3!$A$1:$B$22,2,0)</f>
        <v>Review Analysis</v>
      </c>
      <c r="Q85" t="s">
        <v>110</v>
      </c>
      <c r="R85" t="s">
        <v>75</v>
      </c>
      <c r="S85" t="s">
        <v>75</v>
      </c>
      <c r="T85" t="s">
        <v>75</v>
      </c>
      <c r="U85" t="s">
        <v>75</v>
      </c>
      <c r="V85" t="s">
        <v>76</v>
      </c>
      <c r="W85" t="s">
        <v>75</v>
      </c>
      <c r="X85" t="s">
        <v>135</v>
      </c>
      <c r="Y85" t="s">
        <v>135</v>
      </c>
      <c r="Z85" t="s">
        <v>77</v>
      </c>
      <c r="AA85" t="s">
        <v>112</v>
      </c>
      <c r="AB85" t="s">
        <v>110</v>
      </c>
      <c r="AC85" t="s">
        <v>135</v>
      </c>
      <c r="AD85" t="s">
        <v>112</v>
      </c>
      <c r="AE85" t="s">
        <v>79</v>
      </c>
      <c r="AF85" t="s">
        <v>75</v>
      </c>
      <c r="AG85" t="s">
        <v>365</v>
      </c>
      <c r="AH85" t="s">
        <v>76</v>
      </c>
      <c r="AI85" t="s">
        <v>76</v>
      </c>
      <c r="AJ85" t="s">
        <v>74</v>
      </c>
      <c r="AK85" t="s">
        <v>115</v>
      </c>
      <c r="AL85" t="s">
        <v>115</v>
      </c>
      <c r="AM85" t="s">
        <v>116</v>
      </c>
      <c r="AN85">
        <v>462</v>
      </c>
      <c r="AO85">
        <v>92</v>
      </c>
      <c r="AP85">
        <v>92</v>
      </c>
      <c r="AQ85" t="s">
        <v>84</v>
      </c>
      <c r="AR85" t="s">
        <v>84</v>
      </c>
      <c r="AS85" t="s">
        <v>85</v>
      </c>
      <c r="AT85" t="s">
        <v>75</v>
      </c>
      <c r="AU85" t="s">
        <v>76</v>
      </c>
      <c r="AV85">
        <v>0.81569999999999998</v>
      </c>
      <c r="AW85">
        <v>0.84</v>
      </c>
      <c r="AX85">
        <v>0.89549999999999996</v>
      </c>
      <c r="AY85">
        <v>0.81569999999999998</v>
      </c>
      <c r="AZ85">
        <v>0.84</v>
      </c>
      <c r="BA85">
        <v>0.89549999999999996</v>
      </c>
      <c r="BB85" t="s">
        <v>86</v>
      </c>
      <c r="BC85">
        <v>0.84</v>
      </c>
      <c r="BD85">
        <v>0.81569999999999998</v>
      </c>
      <c r="BE85">
        <v>1</v>
      </c>
      <c r="BF85">
        <v>9.1399999999999995E-2</v>
      </c>
      <c r="BG85">
        <v>0</v>
      </c>
      <c r="BH85">
        <v>4.7300000000000002E-2</v>
      </c>
      <c r="BI85">
        <v>0</v>
      </c>
      <c r="BJ85">
        <v>9.1399999999999995E-2</v>
      </c>
      <c r="BK85" t="s">
        <v>75</v>
      </c>
      <c r="BL85" t="s">
        <v>117</v>
      </c>
    </row>
    <row r="86" spans="1:64" x14ac:dyDescent="0.55000000000000004">
      <c r="A86" t="s">
        <v>104</v>
      </c>
      <c r="B86">
        <v>6</v>
      </c>
      <c r="C86">
        <v>1</v>
      </c>
      <c r="D86">
        <v>2</v>
      </c>
      <c r="E86">
        <v>1</v>
      </c>
      <c r="F86">
        <v>6.1</v>
      </c>
      <c r="G86" t="s">
        <v>366</v>
      </c>
      <c r="H86" t="s">
        <v>106</v>
      </c>
      <c r="I86" t="s">
        <v>107</v>
      </c>
      <c r="J86">
        <v>2021</v>
      </c>
      <c r="K86" t="s">
        <v>272</v>
      </c>
      <c r="L86" t="s">
        <v>70</v>
      </c>
      <c r="M86" t="s">
        <v>108</v>
      </c>
      <c r="N86" t="s">
        <v>72</v>
      </c>
      <c r="O86" t="s">
        <v>364</v>
      </c>
      <c r="P86" t="str">
        <f>VLOOKUP(O86,Sheet3!$A$1:$B$22,2,0)</f>
        <v>Review Analysis</v>
      </c>
      <c r="Q86" t="s">
        <v>110</v>
      </c>
      <c r="R86" t="s">
        <v>75</v>
      </c>
      <c r="S86" t="s">
        <v>75</v>
      </c>
      <c r="T86" t="s">
        <v>75</v>
      </c>
      <c r="U86" t="s">
        <v>75</v>
      </c>
      <c r="V86" t="s">
        <v>76</v>
      </c>
      <c r="W86" t="s">
        <v>75</v>
      </c>
      <c r="X86" t="s">
        <v>135</v>
      </c>
      <c r="Y86" t="s">
        <v>135</v>
      </c>
      <c r="Z86" t="s">
        <v>77</v>
      </c>
      <c r="AA86" t="s">
        <v>112</v>
      </c>
      <c r="AB86" t="s">
        <v>110</v>
      </c>
      <c r="AC86" t="s">
        <v>135</v>
      </c>
      <c r="AD86" t="s">
        <v>112</v>
      </c>
      <c r="AE86" t="s">
        <v>79</v>
      </c>
      <c r="AF86" t="s">
        <v>75</v>
      </c>
      <c r="AG86" t="s">
        <v>367</v>
      </c>
      <c r="AH86" t="s">
        <v>76</v>
      </c>
      <c r="AI86" t="s">
        <v>76</v>
      </c>
      <c r="AJ86" t="s">
        <v>120</v>
      </c>
      <c r="AK86" t="s">
        <v>115</v>
      </c>
      <c r="AL86" t="s">
        <v>115</v>
      </c>
      <c r="AM86" t="s">
        <v>116</v>
      </c>
      <c r="AN86">
        <v>462</v>
      </c>
      <c r="AO86">
        <v>92</v>
      </c>
      <c r="AP86">
        <v>88</v>
      </c>
      <c r="AQ86" t="s">
        <v>84</v>
      </c>
      <c r="AR86" t="s">
        <v>84</v>
      </c>
      <c r="AS86" t="s">
        <v>85</v>
      </c>
      <c r="AT86" t="s">
        <v>75</v>
      </c>
      <c r="AU86" t="s">
        <v>76</v>
      </c>
      <c r="AV86">
        <v>0.81569999999999998</v>
      </c>
      <c r="AW86">
        <v>0.84</v>
      </c>
      <c r="AX86">
        <v>0.88519999999999999</v>
      </c>
      <c r="AY86">
        <v>0.81569999999999998</v>
      </c>
      <c r="AZ86">
        <v>0.84</v>
      </c>
      <c r="BA86">
        <v>0.88519999999999999</v>
      </c>
      <c r="BB86" t="s">
        <v>86</v>
      </c>
      <c r="BC86">
        <v>0.84</v>
      </c>
      <c r="BD86">
        <v>0.81569999999999998</v>
      </c>
      <c r="BE86">
        <v>1</v>
      </c>
      <c r="BF86">
        <v>9.1399999999999995E-2</v>
      </c>
      <c r="BG86">
        <v>0</v>
      </c>
      <c r="BH86">
        <v>5.7599999999999998E-2</v>
      </c>
      <c r="BI86">
        <v>0</v>
      </c>
      <c r="BJ86">
        <v>9.1399999999999995E-2</v>
      </c>
      <c r="BK86" t="s">
        <v>75</v>
      </c>
      <c r="BL86" t="s">
        <v>121</v>
      </c>
    </row>
    <row r="87" spans="1:64" x14ac:dyDescent="0.55000000000000004">
      <c r="A87" t="s">
        <v>104</v>
      </c>
      <c r="B87">
        <v>6</v>
      </c>
      <c r="C87">
        <v>1</v>
      </c>
      <c r="D87">
        <v>3</v>
      </c>
      <c r="E87">
        <v>1</v>
      </c>
      <c r="F87">
        <v>6.1</v>
      </c>
      <c r="G87" t="s">
        <v>368</v>
      </c>
      <c r="H87" t="s">
        <v>106</v>
      </c>
      <c r="I87" t="s">
        <v>107</v>
      </c>
      <c r="J87">
        <v>2021</v>
      </c>
      <c r="K87" t="s">
        <v>272</v>
      </c>
      <c r="L87" t="s">
        <v>70</v>
      </c>
      <c r="M87" t="s">
        <v>108</v>
      </c>
      <c r="N87" t="s">
        <v>72</v>
      </c>
      <c r="O87" t="s">
        <v>364</v>
      </c>
      <c r="P87" t="str">
        <f>VLOOKUP(O87,Sheet3!$A$1:$B$22,2,0)</f>
        <v>Review Analysis</v>
      </c>
      <c r="Q87" t="s">
        <v>110</v>
      </c>
      <c r="R87" t="s">
        <v>75</v>
      </c>
      <c r="S87" t="s">
        <v>75</v>
      </c>
      <c r="T87" t="s">
        <v>75</v>
      </c>
      <c r="U87" t="s">
        <v>75</v>
      </c>
      <c r="V87" t="s">
        <v>76</v>
      </c>
      <c r="W87" t="s">
        <v>75</v>
      </c>
      <c r="X87" t="s">
        <v>135</v>
      </c>
      <c r="Y87" t="s">
        <v>135</v>
      </c>
      <c r="Z87" t="s">
        <v>77</v>
      </c>
      <c r="AA87" t="s">
        <v>112</v>
      </c>
      <c r="AB87" t="s">
        <v>110</v>
      </c>
      <c r="AC87" t="s">
        <v>135</v>
      </c>
      <c r="AD87" t="s">
        <v>112</v>
      </c>
      <c r="AE87" t="s">
        <v>79</v>
      </c>
      <c r="AF87" t="s">
        <v>75</v>
      </c>
      <c r="AG87" t="s">
        <v>369</v>
      </c>
      <c r="AH87" t="s">
        <v>76</v>
      </c>
      <c r="AI87" t="s">
        <v>76</v>
      </c>
      <c r="AJ87" t="s">
        <v>120</v>
      </c>
      <c r="AK87" t="s">
        <v>115</v>
      </c>
      <c r="AL87" t="s">
        <v>115</v>
      </c>
      <c r="AM87" t="s">
        <v>116</v>
      </c>
      <c r="AN87">
        <v>462</v>
      </c>
      <c r="AO87">
        <v>92</v>
      </c>
      <c r="AP87">
        <v>92</v>
      </c>
      <c r="AQ87" t="s">
        <v>84</v>
      </c>
      <c r="AR87" t="s">
        <v>84</v>
      </c>
      <c r="AS87" t="s">
        <v>85</v>
      </c>
      <c r="AT87" t="s">
        <v>75</v>
      </c>
      <c r="AU87" t="s">
        <v>76</v>
      </c>
      <c r="AV87">
        <v>0.81569999999999998</v>
      </c>
      <c r="AW87">
        <v>0.84</v>
      </c>
      <c r="AX87">
        <v>0.87860000000000005</v>
      </c>
      <c r="AY87">
        <v>0.81569999999999998</v>
      </c>
      <c r="AZ87">
        <v>0.84</v>
      </c>
      <c r="BA87">
        <v>0.87860000000000005</v>
      </c>
      <c r="BB87" t="s">
        <v>86</v>
      </c>
      <c r="BC87">
        <v>0.84</v>
      </c>
      <c r="BD87">
        <v>0.81569999999999998</v>
      </c>
      <c r="BE87">
        <v>1</v>
      </c>
      <c r="BF87">
        <v>9.1399999999999995E-2</v>
      </c>
      <c r="BG87">
        <v>0</v>
      </c>
      <c r="BH87">
        <v>7.3700000000000002E-2</v>
      </c>
      <c r="BI87">
        <v>0</v>
      </c>
      <c r="BJ87">
        <v>9.1399999999999995E-2</v>
      </c>
      <c r="BK87" t="s">
        <v>75</v>
      </c>
      <c r="BL87" t="s">
        <v>124</v>
      </c>
    </row>
    <row r="88" spans="1:64" x14ac:dyDescent="0.55000000000000004">
      <c r="A88" t="s">
        <v>104</v>
      </c>
      <c r="B88">
        <v>6</v>
      </c>
      <c r="C88">
        <v>1</v>
      </c>
      <c r="D88">
        <v>4</v>
      </c>
      <c r="E88">
        <v>1</v>
      </c>
      <c r="F88">
        <v>6.1</v>
      </c>
      <c r="G88" t="s">
        <v>370</v>
      </c>
      <c r="H88" t="s">
        <v>106</v>
      </c>
      <c r="I88" t="s">
        <v>107</v>
      </c>
      <c r="J88">
        <v>2021</v>
      </c>
      <c r="K88" t="s">
        <v>272</v>
      </c>
      <c r="L88" t="s">
        <v>70</v>
      </c>
      <c r="M88" t="s">
        <v>108</v>
      </c>
      <c r="N88" t="s">
        <v>72</v>
      </c>
      <c r="O88" t="s">
        <v>364</v>
      </c>
      <c r="P88" t="str">
        <f>VLOOKUP(O88,Sheet3!$A$1:$B$22,2,0)</f>
        <v>Review Analysis</v>
      </c>
      <c r="Q88" t="s">
        <v>110</v>
      </c>
      <c r="R88" t="s">
        <v>75</v>
      </c>
      <c r="S88" t="s">
        <v>75</v>
      </c>
      <c r="T88" t="s">
        <v>75</v>
      </c>
      <c r="U88" t="s">
        <v>75</v>
      </c>
      <c r="V88" t="s">
        <v>76</v>
      </c>
      <c r="W88" t="s">
        <v>75</v>
      </c>
      <c r="X88" t="s">
        <v>135</v>
      </c>
      <c r="Y88" t="s">
        <v>135</v>
      </c>
      <c r="Z88" t="s">
        <v>77</v>
      </c>
      <c r="AA88" t="s">
        <v>112</v>
      </c>
      <c r="AB88" t="s">
        <v>110</v>
      </c>
      <c r="AC88" t="s">
        <v>135</v>
      </c>
      <c r="AD88" t="s">
        <v>112</v>
      </c>
      <c r="AE88" t="s">
        <v>79</v>
      </c>
      <c r="AF88" t="s">
        <v>75</v>
      </c>
      <c r="AG88" t="s">
        <v>371</v>
      </c>
      <c r="AH88" t="s">
        <v>76</v>
      </c>
      <c r="AI88" t="s">
        <v>76</v>
      </c>
      <c r="AJ88" t="s">
        <v>120</v>
      </c>
      <c r="AK88" t="s">
        <v>115</v>
      </c>
      <c r="AL88" t="s">
        <v>115</v>
      </c>
      <c r="AM88" t="s">
        <v>116</v>
      </c>
      <c r="AN88">
        <v>462</v>
      </c>
      <c r="AO88">
        <v>92</v>
      </c>
      <c r="AP88">
        <v>98</v>
      </c>
      <c r="AQ88" t="s">
        <v>84</v>
      </c>
      <c r="AR88" t="s">
        <v>84</v>
      </c>
      <c r="AS88" t="s">
        <v>85</v>
      </c>
      <c r="AT88" t="s">
        <v>75</v>
      </c>
      <c r="AU88" t="s">
        <v>76</v>
      </c>
      <c r="AV88">
        <v>0.81569999999999998</v>
      </c>
      <c r="AW88">
        <v>0.84</v>
      </c>
      <c r="AX88">
        <v>0.88690000000000002</v>
      </c>
      <c r="AY88">
        <v>0.81569999999999998</v>
      </c>
      <c r="AZ88">
        <v>0.84</v>
      </c>
      <c r="BA88">
        <v>0.88690000000000002</v>
      </c>
      <c r="BB88" t="s">
        <v>86</v>
      </c>
      <c r="BC88">
        <v>0.84</v>
      </c>
      <c r="BD88">
        <v>0.81569999999999998</v>
      </c>
      <c r="BE88">
        <v>1</v>
      </c>
      <c r="BF88">
        <v>9.1399999999999995E-2</v>
      </c>
      <c r="BG88">
        <v>0</v>
      </c>
      <c r="BH88">
        <v>5.3999999999999999E-2</v>
      </c>
      <c r="BI88">
        <v>0</v>
      </c>
      <c r="BJ88">
        <v>9.1399999999999995E-2</v>
      </c>
      <c r="BK88" t="s">
        <v>75</v>
      </c>
      <c r="BL88" t="s">
        <v>127</v>
      </c>
    </row>
    <row r="89" spans="1:64" x14ac:dyDescent="0.55000000000000004">
      <c r="A89" t="s">
        <v>104</v>
      </c>
      <c r="B89">
        <v>6</v>
      </c>
      <c r="C89">
        <v>2</v>
      </c>
      <c r="D89">
        <v>1</v>
      </c>
      <c r="E89">
        <v>1</v>
      </c>
      <c r="F89">
        <v>6.2</v>
      </c>
      <c r="G89" t="s">
        <v>372</v>
      </c>
      <c r="H89" t="s">
        <v>106</v>
      </c>
      <c r="I89" t="s">
        <v>107</v>
      </c>
      <c r="J89">
        <v>2021</v>
      </c>
      <c r="K89" t="s">
        <v>272</v>
      </c>
      <c r="L89" t="s">
        <v>70</v>
      </c>
      <c r="M89" t="s">
        <v>108</v>
      </c>
      <c r="N89" t="s">
        <v>72</v>
      </c>
      <c r="O89" t="s">
        <v>373</v>
      </c>
      <c r="P89" t="str">
        <f>VLOOKUP(O89,Sheet3!$A$1:$B$22,2,0)</f>
        <v>Review Analysis</v>
      </c>
      <c r="Q89" t="s">
        <v>110</v>
      </c>
      <c r="R89" t="s">
        <v>75</v>
      </c>
      <c r="S89" t="s">
        <v>75</v>
      </c>
      <c r="T89" t="s">
        <v>75</v>
      </c>
      <c r="U89" t="s">
        <v>75</v>
      </c>
      <c r="V89" t="s">
        <v>76</v>
      </c>
      <c r="W89" t="s">
        <v>75</v>
      </c>
      <c r="X89" t="s">
        <v>135</v>
      </c>
      <c r="Y89" t="s">
        <v>135</v>
      </c>
      <c r="Z89" t="s">
        <v>77</v>
      </c>
      <c r="AA89" t="s">
        <v>112</v>
      </c>
      <c r="AB89" t="s">
        <v>110</v>
      </c>
      <c r="AC89" t="s">
        <v>135</v>
      </c>
      <c r="AD89" t="s">
        <v>112</v>
      </c>
      <c r="AE89" t="s">
        <v>79</v>
      </c>
      <c r="AF89" t="s">
        <v>75</v>
      </c>
      <c r="AG89" t="s">
        <v>374</v>
      </c>
      <c r="AH89" t="s">
        <v>76</v>
      </c>
      <c r="AI89" t="s">
        <v>76</v>
      </c>
      <c r="AJ89" t="s">
        <v>74</v>
      </c>
      <c r="AK89" t="s">
        <v>115</v>
      </c>
      <c r="AL89" t="s">
        <v>115</v>
      </c>
      <c r="AM89" t="s">
        <v>116</v>
      </c>
      <c r="AN89">
        <v>457</v>
      </c>
      <c r="AO89">
        <v>91</v>
      </c>
      <c r="AP89">
        <v>92</v>
      </c>
      <c r="AQ89" t="s">
        <v>84</v>
      </c>
      <c r="AR89" t="s">
        <v>84</v>
      </c>
      <c r="AS89" t="s">
        <v>85</v>
      </c>
      <c r="AT89" t="s">
        <v>75</v>
      </c>
      <c r="AU89" t="s">
        <v>76</v>
      </c>
      <c r="AV89">
        <v>0.87690000000000001</v>
      </c>
      <c r="AW89">
        <v>0.84</v>
      </c>
      <c r="AX89">
        <v>0.90649999999999997</v>
      </c>
      <c r="AY89">
        <v>0.87690000000000001</v>
      </c>
      <c r="AZ89">
        <v>0.84</v>
      </c>
      <c r="BA89">
        <v>0.90649999999999997</v>
      </c>
      <c r="BB89" t="s">
        <v>79</v>
      </c>
      <c r="BC89">
        <v>0.87690000000000001</v>
      </c>
      <c r="BD89">
        <v>0.84</v>
      </c>
      <c r="BE89">
        <v>1</v>
      </c>
      <c r="BF89">
        <v>0.1232</v>
      </c>
      <c r="BG89">
        <v>0</v>
      </c>
      <c r="BH89">
        <v>6.9099999999999995E-2</v>
      </c>
      <c r="BI89">
        <v>0.12324988000000001</v>
      </c>
      <c r="BJ89">
        <v>0</v>
      </c>
      <c r="BK89" t="s">
        <v>75</v>
      </c>
      <c r="BL89" t="s">
        <v>117</v>
      </c>
    </row>
    <row r="90" spans="1:64" x14ac:dyDescent="0.55000000000000004">
      <c r="A90" t="s">
        <v>104</v>
      </c>
      <c r="B90">
        <v>6</v>
      </c>
      <c r="C90">
        <v>2</v>
      </c>
      <c r="D90">
        <v>2</v>
      </c>
      <c r="E90">
        <v>1</v>
      </c>
      <c r="F90">
        <v>6.2</v>
      </c>
      <c r="G90" t="s">
        <v>375</v>
      </c>
      <c r="H90" t="s">
        <v>106</v>
      </c>
      <c r="I90" t="s">
        <v>107</v>
      </c>
      <c r="J90">
        <v>2021</v>
      </c>
      <c r="K90" t="s">
        <v>272</v>
      </c>
      <c r="L90" t="s">
        <v>70</v>
      </c>
      <c r="M90" t="s">
        <v>108</v>
      </c>
      <c r="N90" t="s">
        <v>72</v>
      </c>
      <c r="O90" t="s">
        <v>373</v>
      </c>
      <c r="P90" t="str">
        <f>VLOOKUP(O90,Sheet3!$A$1:$B$22,2,0)</f>
        <v>Review Analysis</v>
      </c>
      <c r="Q90" t="s">
        <v>110</v>
      </c>
      <c r="R90" t="s">
        <v>75</v>
      </c>
      <c r="S90" t="s">
        <v>75</v>
      </c>
      <c r="T90" t="s">
        <v>75</v>
      </c>
      <c r="U90" t="s">
        <v>75</v>
      </c>
      <c r="V90" t="s">
        <v>76</v>
      </c>
      <c r="W90" t="s">
        <v>75</v>
      </c>
      <c r="X90" t="s">
        <v>135</v>
      </c>
      <c r="Y90" t="s">
        <v>135</v>
      </c>
      <c r="Z90" t="s">
        <v>77</v>
      </c>
      <c r="AA90" t="s">
        <v>112</v>
      </c>
      <c r="AB90" t="s">
        <v>110</v>
      </c>
      <c r="AC90" t="s">
        <v>135</v>
      </c>
      <c r="AD90" t="s">
        <v>112</v>
      </c>
      <c r="AE90" t="s">
        <v>79</v>
      </c>
      <c r="AF90" t="s">
        <v>75</v>
      </c>
      <c r="AG90" t="s">
        <v>376</v>
      </c>
      <c r="AH90" t="s">
        <v>76</v>
      </c>
      <c r="AI90" t="s">
        <v>76</v>
      </c>
      <c r="AJ90" t="s">
        <v>120</v>
      </c>
      <c r="AK90" t="s">
        <v>115</v>
      </c>
      <c r="AL90" t="s">
        <v>115</v>
      </c>
      <c r="AM90" t="s">
        <v>116</v>
      </c>
      <c r="AN90">
        <v>457</v>
      </c>
      <c r="AO90">
        <v>91</v>
      </c>
      <c r="AP90">
        <v>91</v>
      </c>
      <c r="AQ90" t="s">
        <v>84</v>
      </c>
      <c r="AR90" t="s">
        <v>84</v>
      </c>
      <c r="AS90" t="s">
        <v>85</v>
      </c>
      <c r="AT90" t="s">
        <v>75</v>
      </c>
      <c r="AU90" t="s">
        <v>76</v>
      </c>
      <c r="AV90">
        <v>0.87690000000000001</v>
      </c>
      <c r="AW90">
        <v>0.84</v>
      </c>
      <c r="AX90">
        <v>0.91800000000000004</v>
      </c>
      <c r="AY90">
        <v>0.87690000000000001</v>
      </c>
      <c r="AZ90">
        <v>0.84</v>
      </c>
      <c r="BA90">
        <v>0.91800000000000004</v>
      </c>
      <c r="BB90" t="s">
        <v>79</v>
      </c>
      <c r="BC90">
        <v>0.87690000000000001</v>
      </c>
      <c r="BD90">
        <v>0.84</v>
      </c>
      <c r="BE90">
        <v>1</v>
      </c>
      <c r="BF90">
        <v>0.1232</v>
      </c>
      <c r="BG90">
        <v>0</v>
      </c>
      <c r="BH90">
        <v>5.5500000000000001E-2</v>
      </c>
      <c r="BI90">
        <v>0.12324988000000001</v>
      </c>
      <c r="BJ90">
        <v>0</v>
      </c>
      <c r="BK90" t="s">
        <v>75</v>
      </c>
      <c r="BL90" t="s">
        <v>121</v>
      </c>
    </row>
    <row r="91" spans="1:64" x14ac:dyDescent="0.55000000000000004">
      <c r="A91" t="s">
        <v>104</v>
      </c>
      <c r="B91">
        <v>6</v>
      </c>
      <c r="C91">
        <v>2</v>
      </c>
      <c r="D91">
        <v>3</v>
      </c>
      <c r="E91">
        <v>1</v>
      </c>
      <c r="F91">
        <v>6.2</v>
      </c>
      <c r="G91" t="s">
        <v>377</v>
      </c>
      <c r="H91" t="s">
        <v>106</v>
      </c>
      <c r="I91" t="s">
        <v>107</v>
      </c>
      <c r="J91">
        <v>2021</v>
      </c>
      <c r="K91" t="s">
        <v>272</v>
      </c>
      <c r="L91" t="s">
        <v>70</v>
      </c>
      <c r="M91" t="s">
        <v>108</v>
      </c>
      <c r="N91" t="s">
        <v>72</v>
      </c>
      <c r="O91" t="s">
        <v>373</v>
      </c>
      <c r="P91" t="str">
        <f>VLOOKUP(O91,Sheet3!$A$1:$B$22,2,0)</f>
        <v>Review Analysis</v>
      </c>
      <c r="Q91" t="s">
        <v>110</v>
      </c>
      <c r="R91" t="s">
        <v>75</v>
      </c>
      <c r="S91" t="s">
        <v>75</v>
      </c>
      <c r="T91" t="s">
        <v>75</v>
      </c>
      <c r="U91" t="s">
        <v>75</v>
      </c>
      <c r="V91" t="s">
        <v>76</v>
      </c>
      <c r="W91" t="s">
        <v>75</v>
      </c>
      <c r="X91" t="s">
        <v>135</v>
      </c>
      <c r="Y91" t="s">
        <v>135</v>
      </c>
      <c r="Z91" t="s">
        <v>77</v>
      </c>
      <c r="AA91" t="s">
        <v>112</v>
      </c>
      <c r="AB91" t="s">
        <v>110</v>
      </c>
      <c r="AC91" t="s">
        <v>135</v>
      </c>
      <c r="AD91" t="s">
        <v>112</v>
      </c>
      <c r="AE91" t="s">
        <v>79</v>
      </c>
      <c r="AF91" t="s">
        <v>75</v>
      </c>
      <c r="AG91" t="s">
        <v>378</v>
      </c>
      <c r="AH91" t="s">
        <v>76</v>
      </c>
      <c r="AI91" t="s">
        <v>76</v>
      </c>
      <c r="AJ91" t="s">
        <v>120</v>
      </c>
      <c r="AK91" t="s">
        <v>115</v>
      </c>
      <c r="AL91" t="s">
        <v>115</v>
      </c>
      <c r="AM91" t="s">
        <v>116</v>
      </c>
      <c r="AN91">
        <v>457</v>
      </c>
      <c r="AO91">
        <v>91</v>
      </c>
      <c r="AP91">
        <v>90</v>
      </c>
      <c r="AQ91" t="s">
        <v>84</v>
      </c>
      <c r="AR91" t="s">
        <v>84</v>
      </c>
      <c r="AS91" t="s">
        <v>85</v>
      </c>
      <c r="AT91" t="s">
        <v>75</v>
      </c>
      <c r="AU91" t="s">
        <v>76</v>
      </c>
      <c r="AV91">
        <v>0.87690000000000001</v>
      </c>
      <c r="AW91">
        <v>0.84</v>
      </c>
      <c r="AX91">
        <v>0.90959999999999996</v>
      </c>
      <c r="AY91">
        <v>0.87690000000000001</v>
      </c>
      <c r="AZ91">
        <v>0.84</v>
      </c>
      <c r="BA91">
        <v>0.90959999999999996</v>
      </c>
      <c r="BB91" t="s">
        <v>79</v>
      </c>
      <c r="BC91">
        <v>0.87690000000000001</v>
      </c>
      <c r="BD91">
        <v>0.84</v>
      </c>
      <c r="BE91">
        <v>1</v>
      </c>
      <c r="BF91">
        <v>0.1232</v>
      </c>
      <c r="BG91">
        <v>0</v>
      </c>
      <c r="BH91">
        <v>8.1299999999999997E-2</v>
      </c>
      <c r="BI91">
        <v>0.12324988000000001</v>
      </c>
      <c r="BJ91">
        <v>0</v>
      </c>
      <c r="BK91" t="s">
        <v>75</v>
      </c>
      <c r="BL91" t="s">
        <v>124</v>
      </c>
    </row>
    <row r="92" spans="1:64" x14ac:dyDescent="0.55000000000000004">
      <c r="A92" t="s">
        <v>104</v>
      </c>
      <c r="B92">
        <v>6</v>
      </c>
      <c r="C92">
        <v>2</v>
      </c>
      <c r="D92">
        <v>4</v>
      </c>
      <c r="E92">
        <v>1</v>
      </c>
      <c r="F92">
        <v>6.2</v>
      </c>
      <c r="G92" t="s">
        <v>379</v>
      </c>
      <c r="H92" t="s">
        <v>106</v>
      </c>
      <c r="I92" t="s">
        <v>107</v>
      </c>
      <c r="J92">
        <v>2021</v>
      </c>
      <c r="K92" t="s">
        <v>272</v>
      </c>
      <c r="L92" t="s">
        <v>70</v>
      </c>
      <c r="M92" t="s">
        <v>108</v>
      </c>
      <c r="N92" t="s">
        <v>72</v>
      </c>
      <c r="O92" t="s">
        <v>373</v>
      </c>
      <c r="P92" t="str">
        <f>VLOOKUP(O92,Sheet3!$A$1:$B$22,2,0)</f>
        <v>Review Analysis</v>
      </c>
      <c r="Q92" t="s">
        <v>110</v>
      </c>
      <c r="R92" t="s">
        <v>75</v>
      </c>
      <c r="S92" t="s">
        <v>75</v>
      </c>
      <c r="T92" t="s">
        <v>75</v>
      </c>
      <c r="U92" t="s">
        <v>75</v>
      </c>
      <c r="V92" t="s">
        <v>76</v>
      </c>
      <c r="W92" t="s">
        <v>75</v>
      </c>
      <c r="X92" t="s">
        <v>135</v>
      </c>
      <c r="Y92" t="s">
        <v>135</v>
      </c>
      <c r="Z92" t="s">
        <v>77</v>
      </c>
      <c r="AA92" t="s">
        <v>112</v>
      </c>
      <c r="AB92" t="s">
        <v>110</v>
      </c>
      <c r="AC92" t="s">
        <v>135</v>
      </c>
      <c r="AD92" t="s">
        <v>112</v>
      </c>
      <c r="AE92" t="s">
        <v>79</v>
      </c>
      <c r="AF92" t="s">
        <v>75</v>
      </c>
      <c r="AG92" t="s">
        <v>380</v>
      </c>
      <c r="AH92" t="s">
        <v>76</v>
      </c>
      <c r="AI92" t="s">
        <v>76</v>
      </c>
      <c r="AJ92" t="s">
        <v>120</v>
      </c>
      <c r="AK92" t="s">
        <v>115</v>
      </c>
      <c r="AL92" t="s">
        <v>115</v>
      </c>
      <c r="AM92" t="s">
        <v>116</v>
      </c>
      <c r="AN92">
        <v>457</v>
      </c>
      <c r="AO92">
        <v>91</v>
      </c>
      <c r="AP92">
        <v>93</v>
      </c>
      <c r="AQ92" t="s">
        <v>84</v>
      </c>
      <c r="AR92" t="s">
        <v>84</v>
      </c>
      <c r="AS92" t="s">
        <v>85</v>
      </c>
      <c r="AT92" t="s">
        <v>75</v>
      </c>
      <c r="AU92" t="s">
        <v>76</v>
      </c>
      <c r="AV92">
        <v>0.87690000000000001</v>
      </c>
      <c r="AW92">
        <v>0.84</v>
      </c>
      <c r="AX92">
        <v>0.91720000000000002</v>
      </c>
      <c r="AY92">
        <v>0.87690000000000001</v>
      </c>
      <c r="AZ92">
        <v>0.84</v>
      </c>
      <c r="BA92">
        <v>0.91720000000000002</v>
      </c>
      <c r="BB92" t="s">
        <v>79</v>
      </c>
      <c r="BC92">
        <v>0.87690000000000001</v>
      </c>
      <c r="BD92">
        <v>0.84</v>
      </c>
      <c r="BE92">
        <v>1</v>
      </c>
      <c r="BF92">
        <v>0.1232</v>
      </c>
      <c r="BG92">
        <v>0</v>
      </c>
      <c r="BH92">
        <v>6.4799999999999996E-2</v>
      </c>
      <c r="BI92">
        <v>0.12324988000000001</v>
      </c>
      <c r="BJ92">
        <v>0</v>
      </c>
      <c r="BK92" t="s">
        <v>75</v>
      </c>
      <c r="BL92" t="s">
        <v>127</v>
      </c>
    </row>
    <row r="93" spans="1:64" x14ac:dyDescent="0.55000000000000004">
      <c r="A93" t="s">
        <v>381</v>
      </c>
      <c r="B93">
        <v>8</v>
      </c>
      <c r="C93">
        <v>1</v>
      </c>
      <c r="D93">
        <v>1</v>
      </c>
      <c r="E93">
        <v>1</v>
      </c>
      <c r="F93">
        <v>8.1</v>
      </c>
      <c r="G93" t="s">
        <v>382</v>
      </c>
      <c r="H93" t="s">
        <v>383</v>
      </c>
      <c r="I93" t="s">
        <v>384</v>
      </c>
      <c r="J93">
        <v>2021</v>
      </c>
      <c r="K93" t="s">
        <v>272</v>
      </c>
      <c r="L93" t="s">
        <v>385</v>
      </c>
      <c r="M93" t="s">
        <v>108</v>
      </c>
      <c r="N93" t="s">
        <v>72</v>
      </c>
      <c r="O93" t="s">
        <v>347</v>
      </c>
      <c r="P93" t="str">
        <f>VLOOKUP(O93,Sheet3!$A$1:$B$22,2,0)</f>
        <v>Customer Service</v>
      </c>
      <c r="Q93" t="s">
        <v>110</v>
      </c>
      <c r="R93" t="s">
        <v>75</v>
      </c>
      <c r="S93" t="s">
        <v>75</v>
      </c>
      <c r="T93" t="s">
        <v>75</v>
      </c>
      <c r="U93" t="s">
        <v>75</v>
      </c>
      <c r="V93" t="s">
        <v>76</v>
      </c>
      <c r="W93" t="s">
        <v>75</v>
      </c>
      <c r="X93" t="s">
        <v>110</v>
      </c>
      <c r="Y93" t="s">
        <v>348</v>
      </c>
      <c r="Z93" t="s">
        <v>349</v>
      </c>
      <c r="AA93" t="s">
        <v>112</v>
      </c>
      <c r="AB93" t="s">
        <v>110</v>
      </c>
      <c r="AC93" t="s">
        <v>110</v>
      </c>
      <c r="AD93" t="s">
        <v>112</v>
      </c>
      <c r="AE93" t="s">
        <v>79</v>
      </c>
      <c r="AF93" t="s">
        <v>75</v>
      </c>
      <c r="AG93" t="s">
        <v>386</v>
      </c>
      <c r="AH93" t="s">
        <v>75</v>
      </c>
      <c r="AI93" t="s">
        <v>75</v>
      </c>
      <c r="AK93" t="s">
        <v>352</v>
      </c>
      <c r="AL93" t="s">
        <v>352</v>
      </c>
      <c r="AM93" t="s">
        <v>116</v>
      </c>
      <c r="AN93">
        <v>1050</v>
      </c>
      <c r="AO93">
        <v>50</v>
      </c>
      <c r="AP93">
        <v>300</v>
      </c>
      <c r="AQ93" t="s">
        <v>84</v>
      </c>
      <c r="AR93" t="s">
        <v>84</v>
      </c>
      <c r="AS93" t="s">
        <v>85</v>
      </c>
      <c r="AT93" t="s">
        <v>75</v>
      </c>
      <c r="AU93" t="s">
        <v>76</v>
      </c>
      <c r="AV93">
        <v>3.74</v>
      </c>
      <c r="AW93">
        <v>3.68</v>
      </c>
      <c r="AX93">
        <v>3.77</v>
      </c>
      <c r="AY93">
        <v>3.74</v>
      </c>
      <c r="AZ93">
        <v>3.68</v>
      </c>
      <c r="BA93">
        <v>3.77</v>
      </c>
      <c r="BB93" t="s">
        <v>79</v>
      </c>
      <c r="BC93">
        <v>3.74</v>
      </c>
      <c r="BD93">
        <v>3.68</v>
      </c>
      <c r="BE93">
        <v>1</v>
      </c>
      <c r="BF93">
        <v>0.73</v>
      </c>
      <c r="BG93">
        <v>0.71</v>
      </c>
      <c r="BH93">
        <v>0.68</v>
      </c>
      <c r="BI93">
        <v>0.73</v>
      </c>
      <c r="BJ93">
        <v>0.71</v>
      </c>
      <c r="BK93" t="s">
        <v>75</v>
      </c>
      <c r="BL93" t="s">
        <v>386</v>
      </c>
    </row>
    <row r="94" spans="1:64" x14ac:dyDescent="0.55000000000000004">
      <c r="A94" t="s">
        <v>381</v>
      </c>
      <c r="B94">
        <v>8</v>
      </c>
      <c r="C94">
        <v>1</v>
      </c>
      <c r="D94">
        <v>2</v>
      </c>
      <c r="E94">
        <v>1</v>
      </c>
      <c r="F94">
        <v>8.1</v>
      </c>
      <c r="G94" t="s">
        <v>387</v>
      </c>
      <c r="H94" t="s">
        <v>383</v>
      </c>
      <c r="I94" t="s">
        <v>384</v>
      </c>
      <c r="J94">
        <v>2021</v>
      </c>
      <c r="K94" t="s">
        <v>272</v>
      </c>
      <c r="L94" t="s">
        <v>385</v>
      </c>
      <c r="M94" t="s">
        <v>108</v>
      </c>
      <c r="N94" t="s">
        <v>72</v>
      </c>
      <c r="O94" t="s">
        <v>347</v>
      </c>
      <c r="P94" t="str">
        <f>VLOOKUP(O94,Sheet3!$A$1:$B$22,2,0)</f>
        <v>Customer Service</v>
      </c>
      <c r="Q94" t="s">
        <v>110</v>
      </c>
      <c r="R94" t="s">
        <v>75</v>
      </c>
      <c r="S94" t="s">
        <v>75</v>
      </c>
      <c r="T94" t="s">
        <v>75</v>
      </c>
      <c r="U94" t="s">
        <v>75</v>
      </c>
      <c r="V94" t="s">
        <v>76</v>
      </c>
      <c r="W94" t="s">
        <v>75</v>
      </c>
      <c r="X94" t="s">
        <v>110</v>
      </c>
      <c r="Y94" t="s">
        <v>348</v>
      </c>
      <c r="Z94" t="s">
        <v>349</v>
      </c>
      <c r="AA94" t="s">
        <v>112</v>
      </c>
      <c r="AB94" t="s">
        <v>110</v>
      </c>
      <c r="AC94" t="s">
        <v>110</v>
      </c>
      <c r="AD94" t="s">
        <v>112</v>
      </c>
      <c r="AE94" t="s">
        <v>79</v>
      </c>
      <c r="AF94" t="s">
        <v>75</v>
      </c>
      <c r="AG94" t="s">
        <v>388</v>
      </c>
      <c r="AH94" t="s">
        <v>75</v>
      </c>
      <c r="AI94" t="s">
        <v>75</v>
      </c>
      <c r="AK94" t="s">
        <v>352</v>
      </c>
      <c r="AL94" t="s">
        <v>352</v>
      </c>
      <c r="AM94" t="s">
        <v>116</v>
      </c>
      <c r="AN94">
        <v>1050</v>
      </c>
      <c r="AO94">
        <v>50</v>
      </c>
      <c r="AP94">
        <v>300</v>
      </c>
      <c r="AQ94" t="s">
        <v>84</v>
      </c>
      <c r="AR94" t="s">
        <v>84</v>
      </c>
      <c r="AS94" t="s">
        <v>85</v>
      </c>
      <c r="AT94" t="s">
        <v>75</v>
      </c>
      <c r="AU94" t="s">
        <v>76</v>
      </c>
      <c r="AV94">
        <v>3.74</v>
      </c>
      <c r="AW94">
        <v>3.87</v>
      </c>
      <c r="AX94">
        <v>3.89</v>
      </c>
      <c r="AY94">
        <v>3.74</v>
      </c>
      <c r="AZ94">
        <v>3.87</v>
      </c>
      <c r="BA94">
        <v>3.89</v>
      </c>
      <c r="BB94" t="s">
        <v>86</v>
      </c>
      <c r="BC94">
        <v>3.87</v>
      </c>
      <c r="BD94">
        <v>3.74</v>
      </c>
      <c r="BE94">
        <v>1</v>
      </c>
      <c r="BF94">
        <v>0.73</v>
      </c>
      <c r="BG94">
        <v>0.66</v>
      </c>
      <c r="BH94">
        <v>0.65</v>
      </c>
      <c r="BI94">
        <v>0.66</v>
      </c>
      <c r="BJ94">
        <v>0.73</v>
      </c>
      <c r="BK94" t="s">
        <v>75</v>
      </c>
      <c r="BL94" t="s">
        <v>388</v>
      </c>
    </row>
    <row r="95" spans="1:64" x14ac:dyDescent="0.55000000000000004">
      <c r="A95" t="s">
        <v>381</v>
      </c>
      <c r="B95">
        <v>8</v>
      </c>
      <c r="C95">
        <v>1</v>
      </c>
      <c r="D95">
        <v>3</v>
      </c>
      <c r="E95">
        <v>1</v>
      </c>
      <c r="F95">
        <v>8.1</v>
      </c>
      <c r="G95" t="s">
        <v>389</v>
      </c>
      <c r="H95" t="s">
        <v>383</v>
      </c>
      <c r="I95" t="s">
        <v>384</v>
      </c>
      <c r="J95">
        <v>2021</v>
      </c>
      <c r="K95" t="s">
        <v>272</v>
      </c>
      <c r="L95" t="s">
        <v>385</v>
      </c>
      <c r="M95" t="s">
        <v>108</v>
      </c>
      <c r="N95" t="s">
        <v>72</v>
      </c>
      <c r="O95" t="s">
        <v>347</v>
      </c>
      <c r="P95" t="str">
        <f>VLOOKUP(O95,Sheet3!$A$1:$B$22,2,0)</f>
        <v>Customer Service</v>
      </c>
      <c r="Q95" t="s">
        <v>110</v>
      </c>
      <c r="R95" t="s">
        <v>75</v>
      </c>
      <c r="S95" t="s">
        <v>75</v>
      </c>
      <c r="T95" t="s">
        <v>75</v>
      </c>
      <c r="U95" t="s">
        <v>75</v>
      </c>
      <c r="V95" t="s">
        <v>76</v>
      </c>
      <c r="W95" t="s">
        <v>75</v>
      </c>
      <c r="X95" t="s">
        <v>110</v>
      </c>
      <c r="Y95" t="s">
        <v>348</v>
      </c>
      <c r="Z95" t="s">
        <v>349</v>
      </c>
      <c r="AA95" t="s">
        <v>112</v>
      </c>
      <c r="AB95" t="s">
        <v>110</v>
      </c>
      <c r="AC95" t="s">
        <v>110</v>
      </c>
      <c r="AD95" t="s">
        <v>112</v>
      </c>
      <c r="AE95" t="s">
        <v>79</v>
      </c>
      <c r="AF95" t="s">
        <v>75</v>
      </c>
      <c r="AG95" t="s">
        <v>390</v>
      </c>
      <c r="AH95" t="s">
        <v>75</v>
      </c>
      <c r="AI95" t="s">
        <v>75</v>
      </c>
      <c r="AK95" t="s">
        <v>352</v>
      </c>
      <c r="AL95" t="s">
        <v>352</v>
      </c>
      <c r="AM95" t="s">
        <v>116</v>
      </c>
      <c r="AN95">
        <v>1050</v>
      </c>
      <c r="AO95">
        <v>50</v>
      </c>
      <c r="AP95">
        <v>300</v>
      </c>
      <c r="AQ95" t="s">
        <v>84</v>
      </c>
      <c r="AR95" t="s">
        <v>84</v>
      </c>
      <c r="AS95" t="s">
        <v>85</v>
      </c>
      <c r="AT95" t="s">
        <v>75</v>
      </c>
      <c r="AU95" t="s">
        <v>76</v>
      </c>
      <c r="AV95">
        <v>3.74</v>
      </c>
      <c r="AW95">
        <v>2.84</v>
      </c>
      <c r="AX95">
        <v>3.35</v>
      </c>
      <c r="AY95">
        <v>3.74</v>
      </c>
      <c r="AZ95">
        <v>2.84</v>
      </c>
      <c r="BA95">
        <v>3.35</v>
      </c>
      <c r="BB95" t="s">
        <v>79</v>
      </c>
      <c r="BC95">
        <v>3.74</v>
      </c>
      <c r="BD95">
        <v>2.84</v>
      </c>
      <c r="BE95">
        <v>0</v>
      </c>
      <c r="BF95">
        <v>0.73</v>
      </c>
      <c r="BG95">
        <v>0.9</v>
      </c>
      <c r="BH95">
        <v>0.87</v>
      </c>
      <c r="BI95">
        <v>0.73</v>
      </c>
      <c r="BJ95">
        <v>0.9</v>
      </c>
      <c r="BK95" t="s">
        <v>75</v>
      </c>
      <c r="BL95" t="s">
        <v>390</v>
      </c>
    </row>
    <row r="96" spans="1:64" x14ac:dyDescent="0.55000000000000004">
      <c r="A96" t="s">
        <v>381</v>
      </c>
      <c r="B96">
        <v>8</v>
      </c>
      <c r="C96">
        <v>1</v>
      </c>
      <c r="D96">
        <v>4</v>
      </c>
      <c r="E96">
        <v>1</v>
      </c>
      <c r="F96">
        <v>8.1</v>
      </c>
      <c r="G96" t="s">
        <v>391</v>
      </c>
      <c r="H96" t="s">
        <v>383</v>
      </c>
      <c r="I96" t="s">
        <v>384</v>
      </c>
      <c r="J96">
        <v>2021</v>
      </c>
      <c r="K96" t="s">
        <v>272</v>
      </c>
      <c r="L96" t="s">
        <v>385</v>
      </c>
      <c r="M96" t="s">
        <v>108</v>
      </c>
      <c r="N96" t="s">
        <v>72</v>
      </c>
      <c r="O96" t="s">
        <v>347</v>
      </c>
      <c r="P96" t="str">
        <f>VLOOKUP(O96,Sheet3!$A$1:$B$22,2,0)</f>
        <v>Customer Service</v>
      </c>
      <c r="Q96" t="s">
        <v>110</v>
      </c>
      <c r="R96" t="s">
        <v>75</v>
      </c>
      <c r="S96" t="s">
        <v>75</v>
      </c>
      <c r="T96" t="s">
        <v>75</v>
      </c>
      <c r="U96" t="s">
        <v>75</v>
      </c>
      <c r="V96" t="s">
        <v>76</v>
      </c>
      <c r="W96" t="s">
        <v>75</v>
      </c>
      <c r="X96" t="s">
        <v>110</v>
      </c>
      <c r="Y96" t="s">
        <v>348</v>
      </c>
      <c r="Z96" t="s">
        <v>349</v>
      </c>
      <c r="AA96" t="s">
        <v>112</v>
      </c>
      <c r="AB96" t="s">
        <v>110</v>
      </c>
      <c r="AC96" t="s">
        <v>110</v>
      </c>
      <c r="AD96" t="s">
        <v>112</v>
      </c>
      <c r="AE96" t="s">
        <v>79</v>
      </c>
      <c r="AF96" t="s">
        <v>75</v>
      </c>
      <c r="AG96" t="s">
        <v>390</v>
      </c>
      <c r="AH96" t="s">
        <v>75</v>
      </c>
      <c r="AI96" t="s">
        <v>75</v>
      </c>
      <c r="AK96" t="s">
        <v>352</v>
      </c>
      <c r="AL96" t="s">
        <v>352</v>
      </c>
      <c r="AM96" t="s">
        <v>116</v>
      </c>
      <c r="AN96">
        <v>1050</v>
      </c>
      <c r="AO96">
        <v>50</v>
      </c>
      <c r="AP96">
        <v>100</v>
      </c>
      <c r="AQ96" t="s">
        <v>84</v>
      </c>
      <c r="AR96" t="s">
        <v>84</v>
      </c>
      <c r="AS96" t="s">
        <v>85</v>
      </c>
      <c r="AT96" t="s">
        <v>75</v>
      </c>
      <c r="AU96" t="s">
        <v>76</v>
      </c>
      <c r="AV96">
        <v>3.74</v>
      </c>
      <c r="AW96">
        <v>3.1</v>
      </c>
      <c r="AX96">
        <v>3.43</v>
      </c>
      <c r="AY96">
        <v>3.74</v>
      </c>
      <c r="AZ96">
        <v>3.1</v>
      </c>
      <c r="BA96">
        <v>3.43</v>
      </c>
      <c r="BB96" t="s">
        <v>79</v>
      </c>
      <c r="BC96">
        <v>3.74</v>
      </c>
      <c r="BD96">
        <v>3.1</v>
      </c>
      <c r="BE96">
        <v>0</v>
      </c>
      <c r="BF96">
        <v>0.73</v>
      </c>
      <c r="BG96">
        <v>0.83</v>
      </c>
      <c r="BH96">
        <v>0.82</v>
      </c>
      <c r="BI96">
        <v>0.73</v>
      </c>
      <c r="BJ96">
        <v>0.83</v>
      </c>
      <c r="BK96" t="s">
        <v>75</v>
      </c>
      <c r="BL96" t="s">
        <v>390</v>
      </c>
    </row>
    <row r="97" spans="1:64" x14ac:dyDescent="0.55000000000000004">
      <c r="A97" t="s">
        <v>392</v>
      </c>
      <c r="B97">
        <v>10</v>
      </c>
      <c r="C97">
        <v>1</v>
      </c>
      <c r="D97">
        <v>1</v>
      </c>
      <c r="E97">
        <v>1</v>
      </c>
      <c r="F97">
        <v>10.1</v>
      </c>
      <c r="G97" t="s">
        <v>393</v>
      </c>
      <c r="H97" t="s">
        <v>394</v>
      </c>
      <c r="I97" t="s">
        <v>395</v>
      </c>
      <c r="J97">
        <v>2022</v>
      </c>
      <c r="K97" t="s">
        <v>272</v>
      </c>
      <c r="L97" t="s">
        <v>396</v>
      </c>
      <c r="M97" t="s">
        <v>108</v>
      </c>
      <c r="N97" t="s">
        <v>72</v>
      </c>
      <c r="O97" t="s">
        <v>397</v>
      </c>
      <c r="P97" t="s">
        <v>551</v>
      </c>
      <c r="Q97" t="s">
        <v>110</v>
      </c>
      <c r="R97" t="s">
        <v>75</v>
      </c>
      <c r="S97" t="s">
        <v>75</v>
      </c>
      <c r="T97" t="s">
        <v>75</v>
      </c>
      <c r="U97" t="s">
        <v>75</v>
      </c>
      <c r="V97" t="s">
        <v>76</v>
      </c>
      <c r="W97" t="s">
        <v>75</v>
      </c>
      <c r="X97" t="s">
        <v>110</v>
      </c>
      <c r="Y97" t="s">
        <v>348</v>
      </c>
      <c r="Z97" t="s">
        <v>349</v>
      </c>
      <c r="AA97" t="s">
        <v>112</v>
      </c>
      <c r="AB97" t="s">
        <v>110</v>
      </c>
      <c r="AC97" t="s">
        <v>110</v>
      </c>
      <c r="AD97" t="s">
        <v>112</v>
      </c>
      <c r="AE97" t="s">
        <v>79</v>
      </c>
      <c r="AF97" t="s">
        <v>75</v>
      </c>
      <c r="AG97" t="s">
        <v>145</v>
      </c>
      <c r="AH97" t="s">
        <v>76</v>
      </c>
      <c r="AI97" t="s">
        <v>75</v>
      </c>
      <c r="AJ97" t="s">
        <v>110</v>
      </c>
      <c r="AK97" t="s">
        <v>398</v>
      </c>
      <c r="AL97" t="s">
        <v>115</v>
      </c>
      <c r="AM97" t="s">
        <v>116</v>
      </c>
      <c r="AN97">
        <v>120</v>
      </c>
      <c r="AO97">
        <v>30</v>
      </c>
      <c r="AP97">
        <v>30</v>
      </c>
      <c r="AQ97" t="s">
        <v>84</v>
      </c>
      <c r="AR97" t="s">
        <v>84</v>
      </c>
      <c r="AS97" t="s">
        <v>85</v>
      </c>
      <c r="AT97" t="s">
        <v>75</v>
      </c>
      <c r="AU97" t="s">
        <v>76</v>
      </c>
      <c r="AV97">
        <v>0.78800000000000003</v>
      </c>
      <c r="AW97">
        <v>0.89</v>
      </c>
      <c r="AX97">
        <v>0.94</v>
      </c>
      <c r="AY97">
        <v>0.78800000000000003</v>
      </c>
      <c r="AZ97">
        <v>0.89</v>
      </c>
      <c r="BA97">
        <v>0.94</v>
      </c>
      <c r="BB97" t="s">
        <v>86</v>
      </c>
      <c r="BC97">
        <v>0.89</v>
      </c>
      <c r="BD97">
        <v>0.78800000000000003</v>
      </c>
      <c r="BE97">
        <v>1</v>
      </c>
      <c r="BF97">
        <v>0.1726</v>
      </c>
      <c r="BG97">
        <v>0</v>
      </c>
      <c r="BH97">
        <v>3.6636066000000002E-2</v>
      </c>
      <c r="BI97">
        <v>0.1726</v>
      </c>
      <c r="BJ97">
        <v>0.1726</v>
      </c>
      <c r="BK97" t="s">
        <v>75</v>
      </c>
      <c r="BL97" t="s">
        <v>399</v>
      </c>
    </row>
    <row r="98" spans="1:64" x14ac:dyDescent="0.55000000000000004">
      <c r="A98" t="s">
        <v>392</v>
      </c>
      <c r="B98">
        <v>10</v>
      </c>
      <c r="C98">
        <v>1</v>
      </c>
      <c r="D98">
        <v>2</v>
      </c>
      <c r="E98">
        <v>1</v>
      </c>
      <c r="F98">
        <v>10.1</v>
      </c>
      <c r="G98" t="s">
        <v>400</v>
      </c>
      <c r="H98" t="s">
        <v>394</v>
      </c>
      <c r="I98" t="s">
        <v>395</v>
      </c>
      <c r="J98">
        <v>2022</v>
      </c>
      <c r="K98" t="s">
        <v>272</v>
      </c>
      <c r="L98" t="s">
        <v>396</v>
      </c>
      <c r="M98" t="s">
        <v>108</v>
      </c>
      <c r="N98" t="s">
        <v>72</v>
      </c>
      <c r="O98" t="s">
        <v>397</v>
      </c>
      <c r="P98" t="s">
        <v>551</v>
      </c>
      <c r="Q98" t="s">
        <v>110</v>
      </c>
      <c r="R98" t="s">
        <v>75</v>
      </c>
      <c r="S98" t="s">
        <v>75</v>
      </c>
      <c r="T98" t="s">
        <v>75</v>
      </c>
      <c r="U98" t="s">
        <v>75</v>
      </c>
      <c r="V98" t="s">
        <v>76</v>
      </c>
      <c r="W98" t="s">
        <v>75</v>
      </c>
      <c r="X98" t="s">
        <v>110</v>
      </c>
      <c r="Y98" t="s">
        <v>348</v>
      </c>
      <c r="Z98" t="s">
        <v>349</v>
      </c>
      <c r="AA98" t="s">
        <v>112</v>
      </c>
      <c r="AB98" t="s">
        <v>110</v>
      </c>
      <c r="AC98" t="s">
        <v>110</v>
      </c>
      <c r="AD98" t="s">
        <v>112</v>
      </c>
      <c r="AE98" t="s">
        <v>79</v>
      </c>
      <c r="AF98" t="s">
        <v>75</v>
      </c>
      <c r="AG98" t="s">
        <v>148</v>
      </c>
      <c r="AH98" t="s">
        <v>76</v>
      </c>
      <c r="AI98" t="s">
        <v>75</v>
      </c>
      <c r="AJ98" t="s">
        <v>110</v>
      </c>
      <c r="AK98" t="s">
        <v>398</v>
      </c>
      <c r="AL98" t="s">
        <v>115</v>
      </c>
      <c r="AM98" t="s">
        <v>116</v>
      </c>
      <c r="AN98">
        <v>120</v>
      </c>
      <c r="AO98">
        <v>30</v>
      </c>
      <c r="AP98">
        <v>30</v>
      </c>
      <c r="AQ98" t="s">
        <v>84</v>
      </c>
      <c r="AR98" t="s">
        <v>84</v>
      </c>
      <c r="AS98" t="s">
        <v>85</v>
      </c>
      <c r="AT98" t="s">
        <v>75</v>
      </c>
      <c r="AU98" t="s">
        <v>76</v>
      </c>
      <c r="AV98">
        <v>0.78800000000000003</v>
      </c>
      <c r="AW98">
        <v>0.89</v>
      </c>
      <c r="AX98">
        <v>0.93200000000000005</v>
      </c>
      <c r="AY98">
        <v>0.78800000000000003</v>
      </c>
      <c r="AZ98">
        <v>0.89</v>
      </c>
      <c r="BA98">
        <v>0.93200000000000005</v>
      </c>
      <c r="BB98" t="s">
        <v>86</v>
      </c>
      <c r="BC98">
        <v>0.89</v>
      </c>
      <c r="BD98">
        <v>0.78800000000000003</v>
      </c>
      <c r="BE98">
        <v>1</v>
      </c>
      <c r="BF98">
        <v>0.1726</v>
      </c>
      <c r="BG98">
        <v>0</v>
      </c>
      <c r="BH98">
        <v>4.8295427000000002E-2</v>
      </c>
      <c r="BI98">
        <v>0.1726</v>
      </c>
      <c r="BJ98">
        <v>0.1726</v>
      </c>
      <c r="BK98" t="s">
        <v>75</v>
      </c>
      <c r="BL98" t="s">
        <v>401</v>
      </c>
    </row>
    <row r="99" spans="1:64" x14ac:dyDescent="0.55000000000000004">
      <c r="A99" t="s">
        <v>392</v>
      </c>
      <c r="B99">
        <v>10</v>
      </c>
      <c r="C99">
        <v>1</v>
      </c>
      <c r="D99">
        <v>3</v>
      </c>
      <c r="E99">
        <v>1</v>
      </c>
      <c r="F99">
        <v>10.1</v>
      </c>
      <c r="G99" t="s">
        <v>402</v>
      </c>
      <c r="H99" t="s">
        <v>394</v>
      </c>
      <c r="I99" t="s">
        <v>395</v>
      </c>
      <c r="J99">
        <v>2022</v>
      </c>
      <c r="K99" t="s">
        <v>272</v>
      </c>
      <c r="L99" t="s">
        <v>396</v>
      </c>
      <c r="M99" t="s">
        <v>108</v>
      </c>
      <c r="N99" t="s">
        <v>72</v>
      </c>
      <c r="O99" t="s">
        <v>397</v>
      </c>
      <c r="P99" t="s">
        <v>551</v>
      </c>
      <c r="Q99" t="s">
        <v>110</v>
      </c>
      <c r="R99" t="s">
        <v>75</v>
      </c>
      <c r="S99" t="s">
        <v>75</v>
      </c>
      <c r="T99" t="s">
        <v>75</v>
      </c>
      <c r="U99" t="s">
        <v>75</v>
      </c>
      <c r="V99" t="s">
        <v>76</v>
      </c>
      <c r="W99" t="s">
        <v>75</v>
      </c>
      <c r="X99" t="s">
        <v>110</v>
      </c>
      <c r="Y99" t="s">
        <v>348</v>
      </c>
      <c r="Z99" t="s">
        <v>349</v>
      </c>
      <c r="AA99" t="s">
        <v>112</v>
      </c>
      <c r="AB99" t="s">
        <v>110</v>
      </c>
      <c r="AC99" t="s">
        <v>110</v>
      </c>
      <c r="AD99" t="s">
        <v>112</v>
      </c>
      <c r="AE99" t="s">
        <v>79</v>
      </c>
      <c r="AF99" t="s">
        <v>75</v>
      </c>
      <c r="AG99" t="s">
        <v>151</v>
      </c>
      <c r="AH99" t="s">
        <v>76</v>
      </c>
      <c r="AI99" t="s">
        <v>75</v>
      </c>
      <c r="AJ99" t="s">
        <v>110</v>
      </c>
      <c r="AK99" t="s">
        <v>398</v>
      </c>
      <c r="AL99" t="s">
        <v>115</v>
      </c>
      <c r="AM99" t="s">
        <v>116</v>
      </c>
      <c r="AN99">
        <v>120</v>
      </c>
      <c r="AO99">
        <v>30</v>
      </c>
      <c r="AP99">
        <v>30</v>
      </c>
      <c r="AQ99" t="s">
        <v>84</v>
      </c>
      <c r="AR99" t="s">
        <v>84</v>
      </c>
      <c r="AS99" t="s">
        <v>85</v>
      </c>
      <c r="AT99" t="s">
        <v>75</v>
      </c>
      <c r="AU99" t="s">
        <v>76</v>
      </c>
      <c r="AV99">
        <v>0.78800000000000003</v>
      </c>
      <c r="AW99">
        <v>0.89</v>
      </c>
      <c r="AX99">
        <v>0.94799999999999995</v>
      </c>
      <c r="AY99">
        <v>0.78800000000000003</v>
      </c>
      <c r="AZ99">
        <v>0.89</v>
      </c>
      <c r="BA99">
        <v>0.94799999999999995</v>
      </c>
      <c r="BB99" t="s">
        <v>86</v>
      </c>
      <c r="BC99">
        <v>0.89</v>
      </c>
      <c r="BD99">
        <v>0.78800000000000003</v>
      </c>
      <c r="BE99">
        <v>1</v>
      </c>
      <c r="BF99">
        <v>0.1726</v>
      </c>
      <c r="BG99">
        <v>0</v>
      </c>
      <c r="BH99">
        <v>2.4976704999999998E-2</v>
      </c>
      <c r="BI99">
        <v>0.1726</v>
      </c>
      <c r="BJ99">
        <v>0.1726</v>
      </c>
      <c r="BK99" t="s">
        <v>75</v>
      </c>
      <c r="BL99" t="s">
        <v>403</v>
      </c>
    </row>
    <row r="100" spans="1:64" x14ac:dyDescent="0.55000000000000004">
      <c r="A100" t="s">
        <v>392</v>
      </c>
      <c r="B100">
        <v>10</v>
      </c>
      <c r="C100">
        <v>2</v>
      </c>
      <c r="D100">
        <v>1</v>
      </c>
      <c r="E100">
        <v>1</v>
      </c>
      <c r="F100">
        <v>10.199999999999999</v>
      </c>
      <c r="G100" t="s">
        <v>404</v>
      </c>
      <c r="H100" t="s">
        <v>394</v>
      </c>
      <c r="I100" t="s">
        <v>395</v>
      </c>
      <c r="J100">
        <v>2022</v>
      </c>
      <c r="K100" t="s">
        <v>272</v>
      </c>
      <c r="L100" t="s">
        <v>396</v>
      </c>
      <c r="M100" t="s">
        <v>108</v>
      </c>
      <c r="N100" t="s">
        <v>72</v>
      </c>
      <c r="O100" t="s">
        <v>397</v>
      </c>
      <c r="P100" t="s">
        <v>551</v>
      </c>
      <c r="Q100" t="s">
        <v>110</v>
      </c>
      <c r="R100" t="s">
        <v>75</v>
      </c>
      <c r="S100" t="s">
        <v>75</v>
      </c>
      <c r="T100" t="s">
        <v>75</v>
      </c>
      <c r="U100" t="s">
        <v>75</v>
      </c>
      <c r="V100" t="s">
        <v>76</v>
      </c>
      <c r="W100" t="s">
        <v>75</v>
      </c>
      <c r="X100" t="s">
        <v>110</v>
      </c>
      <c r="Y100" t="s">
        <v>348</v>
      </c>
      <c r="Z100" t="s">
        <v>349</v>
      </c>
      <c r="AA100" t="s">
        <v>112</v>
      </c>
      <c r="AB100" t="s">
        <v>110</v>
      </c>
      <c r="AC100" t="s">
        <v>110</v>
      </c>
      <c r="AD100" t="s">
        <v>112</v>
      </c>
      <c r="AE100" t="s">
        <v>79</v>
      </c>
      <c r="AF100" t="s">
        <v>75</v>
      </c>
      <c r="AG100" t="s">
        <v>154</v>
      </c>
      <c r="AH100" t="s">
        <v>76</v>
      </c>
      <c r="AI100" t="s">
        <v>75</v>
      </c>
      <c r="AJ100" t="s">
        <v>110</v>
      </c>
      <c r="AK100" t="s">
        <v>398</v>
      </c>
      <c r="AL100" t="s">
        <v>115</v>
      </c>
      <c r="AM100" t="s">
        <v>116</v>
      </c>
      <c r="AN100">
        <v>120</v>
      </c>
      <c r="AO100">
        <v>30</v>
      </c>
      <c r="AP100">
        <v>30</v>
      </c>
      <c r="AQ100" t="s">
        <v>84</v>
      </c>
      <c r="AR100" t="s">
        <v>84</v>
      </c>
      <c r="AS100" t="s">
        <v>85</v>
      </c>
      <c r="AT100" t="s">
        <v>75</v>
      </c>
      <c r="AU100" t="s">
        <v>76</v>
      </c>
      <c r="AV100">
        <v>0.628</v>
      </c>
      <c r="AW100">
        <v>0.54</v>
      </c>
      <c r="AX100">
        <v>0.626</v>
      </c>
      <c r="AY100">
        <v>0.628</v>
      </c>
      <c r="AZ100">
        <v>0.54</v>
      </c>
      <c r="BA100">
        <v>0.626</v>
      </c>
      <c r="BB100" t="s">
        <v>79</v>
      </c>
      <c r="BC100">
        <v>0.628</v>
      </c>
      <c r="BD100">
        <v>0.54</v>
      </c>
      <c r="BE100">
        <v>0</v>
      </c>
      <c r="BF100">
        <v>0.13239999999999999</v>
      </c>
      <c r="BG100">
        <v>0</v>
      </c>
      <c r="BH100">
        <v>8.2302897E-2</v>
      </c>
      <c r="BI100">
        <v>0.628</v>
      </c>
      <c r="BJ100">
        <v>0</v>
      </c>
      <c r="BK100" t="s">
        <v>75</v>
      </c>
      <c r="BL100" t="s">
        <v>405</v>
      </c>
    </row>
    <row r="101" spans="1:64" x14ac:dyDescent="0.55000000000000004">
      <c r="A101" t="s">
        <v>392</v>
      </c>
      <c r="B101">
        <v>10</v>
      </c>
      <c r="C101">
        <v>2</v>
      </c>
      <c r="D101">
        <v>2</v>
      </c>
      <c r="E101">
        <v>1</v>
      </c>
      <c r="F101">
        <v>10.199999999999999</v>
      </c>
      <c r="G101" t="s">
        <v>406</v>
      </c>
      <c r="H101" t="s">
        <v>394</v>
      </c>
      <c r="I101" t="s">
        <v>395</v>
      </c>
      <c r="J101">
        <v>2022</v>
      </c>
      <c r="K101" t="s">
        <v>272</v>
      </c>
      <c r="L101" t="s">
        <v>396</v>
      </c>
      <c r="M101" t="s">
        <v>108</v>
      </c>
      <c r="N101" t="s">
        <v>72</v>
      </c>
      <c r="O101" t="s">
        <v>397</v>
      </c>
      <c r="P101" t="s">
        <v>551</v>
      </c>
      <c r="Q101" t="s">
        <v>110</v>
      </c>
      <c r="R101" t="s">
        <v>75</v>
      </c>
      <c r="S101" t="s">
        <v>75</v>
      </c>
      <c r="T101" t="s">
        <v>75</v>
      </c>
      <c r="U101" t="s">
        <v>75</v>
      </c>
      <c r="V101" t="s">
        <v>76</v>
      </c>
      <c r="W101" t="s">
        <v>75</v>
      </c>
      <c r="X101" t="s">
        <v>110</v>
      </c>
      <c r="Y101" t="s">
        <v>348</v>
      </c>
      <c r="Z101" t="s">
        <v>349</v>
      </c>
      <c r="AA101" t="s">
        <v>112</v>
      </c>
      <c r="AB101" t="s">
        <v>110</v>
      </c>
      <c r="AC101" t="s">
        <v>110</v>
      </c>
      <c r="AD101" t="s">
        <v>112</v>
      </c>
      <c r="AE101" t="s">
        <v>79</v>
      </c>
      <c r="AF101" t="s">
        <v>75</v>
      </c>
      <c r="AG101" t="s">
        <v>399</v>
      </c>
      <c r="AH101" t="s">
        <v>76</v>
      </c>
      <c r="AI101" t="s">
        <v>75</v>
      </c>
      <c r="AJ101" t="s">
        <v>110</v>
      </c>
      <c r="AK101" t="s">
        <v>398</v>
      </c>
      <c r="AL101" t="s">
        <v>115</v>
      </c>
      <c r="AM101" t="s">
        <v>116</v>
      </c>
      <c r="AN101">
        <v>120</v>
      </c>
      <c r="AO101">
        <v>30</v>
      </c>
      <c r="AP101">
        <v>30</v>
      </c>
      <c r="AQ101" t="s">
        <v>84</v>
      </c>
      <c r="AR101" t="s">
        <v>84</v>
      </c>
      <c r="AS101" t="s">
        <v>85</v>
      </c>
      <c r="AT101" t="s">
        <v>75</v>
      </c>
      <c r="AU101" t="s">
        <v>76</v>
      </c>
      <c r="AV101">
        <v>0.628</v>
      </c>
      <c r="AW101">
        <v>0.54</v>
      </c>
      <c r="AX101">
        <v>0.60899999999999999</v>
      </c>
      <c r="AY101">
        <v>0.628</v>
      </c>
      <c r="AZ101">
        <v>0.54</v>
      </c>
      <c r="BA101">
        <v>0.60899999999999999</v>
      </c>
      <c r="BB101" t="s">
        <v>79</v>
      </c>
      <c r="BC101">
        <v>0.628</v>
      </c>
      <c r="BD101">
        <v>0.54</v>
      </c>
      <c r="BE101">
        <v>0</v>
      </c>
      <c r="BF101">
        <v>0.13239999999999999</v>
      </c>
      <c r="BG101">
        <v>0</v>
      </c>
      <c r="BH101">
        <v>0.108915966</v>
      </c>
      <c r="BI101">
        <v>0.628</v>
      </c>
      <c r="BJ101">
        <v>0</v>
      </c>
      <c r="BK101" t="s">
        <v>75</v>
      </c>
      <c r="BL101" t="s">
        <v>407</v>
      </c>
    </row>
    <row r="102" spans="1:64" x14ac:dyDescent="0.55000000000000004">
      <c r="A102" t="s">
        <v>392</v>
      </c>
      <c r="B102">
        <v>10</v>
      </c>
      <c r="C102">
        <v>2</v>
      </c>
      <c r="D102">
        <v>3</v>
      </c>
      <c r="E102">
        <v>1</v>
      </c>
      <c r="F102">
        <v>10.199999999999999</v>
      </c>
      <c r="G102" t="s">
        <v>408</v>
      </c>
      <c r="H102" t="s">
        <v>394</v>
      </c>
      <c r="I102" t="s">
        <v>395</v>
      </c>
      <c r="J102">
        <v>2022</v>
      </c>
      <c r="K102" t="s">
        <v>272</v>
      </c>
      <c r="L102" t="s">
        <v>159</v>
      </c>
      <c r="M102" t="s">
        <v>108</v>
      </c>
      <c r="N102" t="s">
        <v>72</v>
      </c>
      <c r="O102" t="s">
        <v>397</v>
      </c>
      <c r="P102" t="s">
        <v>551</v>
      </c>
      <c r="Q102" t="s">
        <v>110</v>
      </c>
      <c r="R102" t="s">
        <v>75</v>
      </c>
      <c r="S102" t="s">
        <v>75</v>
      </c>
      <c r="T102" t="s">
        <v>75</v>
      </c>
      <c r="U102" t="s">
        <v>75</v>
      </c>
      <c r="V102" t="s">
        <v>76</v>
      </c>
      <c r="W102" t="s">
        <v>75</v>
      </c>
      <c r="X102" t="s">
        <v>110</v>
      </c>
      <c r="Y102" t="s">
        <v>348</v>
      </c>
      <c r="Z102" t="s">
        <v>349</v>
      </c>
      <c r="AA102" t="s">
        <v>112</v>
      </c>
      <c r="AB102" t="s">
        <v>110</v>
      </c>
      <c r="AC102" t="s">
        <v>110</v>
      </c>
      <c r="AD102" t="s">
        <v>112</v>
      </c>
      <c r="AE102" t="s">
        <v>79</v>
      </c>
      <c r="AF102" t="s">
        <v>75</v>
      </c>
      <c r="AG102" t="s">
        <v>401</v>
      </c>
      <c r="AH102" t="s">
        <v>76</v>
      </c>
      <c r="AI102" t="s">
        <v>75</v>
      </c>
      <c r="AJ102" t="s">
        <v>110</v>
      </c>
      <c r="AK102" t="s">
        <v>398</v>
      </c>
      <c r="AL102" t="s">
        <v>115</v>
      </c>
      <c r="AM102" t="s">
        <v>116</v>
      </c>
      <c r="AN102">
        <v>120</v>
      </c>
      <c r="AO102">
        <v>30</v>
      </c>
      <c r="AP102">
        <v>30</v>
      </c>
      <c r="AQ102" t="s">
        <v>84</v>
      </c>
      <c r="AR102" t="s">
        <v>84</v>
      </c>
      <c r="AS102" t="s">
        <v>85</v>
      </c>
      <c r="AT102" t="s">
        <v>75</v>
      </c>
      <c r="AU102" t="s">
        <v>76</v>
      </c>
      <c r="AV102">
        <v>0.628</v>
      </c>
      <c r="AW102">
        <v>0.54</v>
      </c>
      <c r="AX102">
        <v>0.61899999999999999</v>
      </c>
      <c r="AY102">
        <v>0.628</v>
      </c>
      <c r="AZ102">
        <v>0.54</v>
      </c>
      <c r="BA102">
        <v>0.61899999999999999</v>
      </c>
      <c r="BB102" t="s">
        <v>79</v>
      </c>
      <c r="BC102">
        <v>0.628</v>
      </c>
      <c r="BD102">
        <v>0.54</v>
      </c>
      <c r="BE102">
        <v>0</v>
      </c>
      <c r="BF102">
        <v>0.13239999999999999</v>
      </c>
      <c r="BG102">
        <v>0</v>
      </c>
      <c r="BH102">
        <v>7.4006444000000005E-2</v>
      </c>
      <c r="BI102">
        <v>0.628</v>
      </c>
      <c r="BJ102">
        <v>0</v>
      </c>
      <c r="BK102" t="s">
        <v>75</v>
      </c>
      <c r="BL102" t="s">
        <v>409</v>
      </c>
    </row>
    <row r="103" spans="1:64" x14ac:dyDescent="0.55000000000000004">
      <c r="A103" t="s">
        <v>410</v>
      </c>
      <c r="B103">
        <v>15</v>
      </c>
      <c r="C103">
        <v>1</v>
      </c>
      <c r="D103">
        <v>1</v>
      </c>
      <c r="E103">
        <v>1</v>
      </c>
      <c r="F103">
        <v>15.1</v>
      </c>
      <c r="G103" t="s">
        <v>411</v>
      </c>
      <c r="H103" t="s">
        <v>412</v>
      </c>
      <c r="I103" t="s">
        <v>413</v>
      </c>
      <c r="J103">
        <v>2023</v>
      </c>
      <c r="K103" t="s">
        <v>272</v>
      </c>
      <c r="L103" t="s">
        <v>142</v>
      </c>
      <c r="M103" t="s">
        <v>108</v>
      </c>
      <c r="N103" t="s">
        <v>72</v>
      </c>
      <c r="O103" t="s">
        <v>414</v>
      </c>
      <c r="P103" t="str">
        <f>VLOOKUP(O103,Sheet3!$A$1:$B$22,2,0)</f>
        <v>Review Analysis</v>
      </c>
      <c r="Q103" t="s">
        <v>110</v>
      </c>
      <c r="R103" t="s">
        <v>75</v>
      </c>
      <c r="S103" t="s">
        <v>75</v>
      </c>
      <c r="T103" t="s">
        <v>75</v>
      </c>
      <c r="U103" t="s">
        <v>75</v>
      </c>
      <c r="V103" t="s">
        <v>76</v>
      </c>
      <c r="W103" t="s">
        <v>75</v>
      </c>
      <c r="X103" t="s">
        <v>135</v>
      </c>
      <c r="Y103" t="s">
        <v>135</v>
      </c>
      <c r="Z103" t="s">
        <v>77</v>
      </c>
      <c r="AA103" t="s">
        <v>235</v>
      </c>
      <c r="AB103" t="s">
        <v>110</v>
      </c>
      <c r="AC103" t="s">
        <v>135</v>
      </c>
      <c r="AD103" t="s">
        <v>546</v>
      </c>
      <c r="AE103" t="s">
        <v>79</v>
      </c>
      <c r="AF103" t="s">
        <v>75</v>
      </c>
      <c r="AG103" t="s">
        <v>165</v>
      </c>
      <c r="AH103" t="s">
        <v>75</v>
      </c>
      <c r="AI103" t="s">
        <v>75</v>
      </c>
      <c r="AK103" t="s">
        <v>115</v>
      </c>
      <c r="AL103" t="s">
        <v>115</v>
      </c>
      <c r="AM103" t="s">
        <v>116</v>
      </c>
      <c r="AN103">
        <v>67</v>
      </c>
      <c r="AO103">
        <v>23</v>
      </c>
      <c r="AP103">
        <v>22</v>
      </c>
      <c r="AQ103" t="s">
        <v>84</v>
      </c>
      <c r="AR103" t="s">
        <v>84</v>
      </c>
      <c r="AS103" t="s">
        <v>85</v>
      </c>
      <c r="AT103" t="s">
        <v>75</v>
      </c>
      <c r="AU103" t="s">
        <v>76</v>
      </c>
      <c r="AV103">
        <v>0.5514</v>
      </c>
      <c r="AW103">
        <v>0.73299999999999998</v>
      </c>
      <c r="AX103">
        <v>0.62319999999999998</v>
      </c>
      <c r="AY103">
        <v>0.5514</v>
      </c>
      <c r="AZ103">
        <v>0.73299999999999998</v>
      </c>
      <c r="BA103">
        <v>0.62319999999999998</v>
      </c>
      <c r="BB103" t="s">
        <v>86</v>
      </c>
      <c r="BC103">
        <v>0.73299999999999998</v>
      </c>
      <c r="BD103">
        <v>0.5514</v>
      </c>
      <c r="BE103">
        <v>0</v>
      </c>
      <c r="BF103">
        <v>0.1036</v>
      </c>
      <c r="BG103">
        <v>0</v>
      </c>
      <c r="BH103">
        <v>9.6600000000000005E-2</v>
      </c>
      <c r="BI103">
        <v>0</v>
      </c>
      <c r="BJ103">
        <v>0.1036</v>
      </c>
      <c r="BK103" t="s">
        <v>75</v>
      </c>
      <c r="BL103" t="s">
        <v>165</v>
      </c>
    </row>
    <row r="104" spans="1:64" x14ac:dyDescent="0.55000000000000004">
      <c r="A104" t="s">
        <v>410</v>
      </c>
      <c r="B104">
        <v>15</v>
      </c>
      <c r="C104">
        <v>1</v>
      </c>
      <c r="D104">
        <v>2</v>
      </c>
      <c r="E104">
        <v>1</v>
      </c>
      <c r="F104">
        <v>15.1</v>
      </c>
      <c r="G104" t="s">
        <v>415</v>
      </c>
      <c r="H104" t="s">
        <v>412</v>
      </c>
      <c r="I104" t="s">
        <v>413</v>
      </c>
      <c r="J104">
        <v>2023</v>
      </c>
      <c r="K104" t="s">
        <v>272</v>
      </c>
      <c r="L104" t="s">
        <v>142</v>
      </c>
      <c r="M104" t="s">
        <v>108</v>
      </c>
      <c r="N104" t="s">
        <v>72</v>
      </c>
      <c r="O104" t="s">
        <v>414</v>
      </c>
      <c r="P104" t="str">
        <f>VLOOKUP(O104,Sheet3!$A$1:$B$22,2,0)</f>
        <v>Review Analysis</v>
      </c>
      <c r="Q104" t="s">
        <v>110</v>
      </c>
      <c r="R104" t="s">
        <v>75</v>
      </c>
      <c r="S104" t="s">
        <v>75</v>
      </c>
      <c r="T104" t="s">
        <v>75</v>
      </c>
      <c r="U104" t="s">
        <v>75</v>
      </c>
      <c r="V104" t="s">
        <v>76</v>
      </c>
      <c r="W104" t="s">
        <v>75</v>
      </c>
      <c r="X104" t="s">
        <v>135</v>
      </c>
      <c r="Y104" t="s">
        <v>135</v>
      </c>
      <c r="Z104" t="s">
        <v>77</v>
      </c>
      <c r="AA104" t="s">
        <v>235</v>
      </c>
      <c r="AB104" t="s">
        <v>110</v>
      </c>
      <c r="AC104" t="s">
        <v>135</v>
      </c>
      <c r="AD104" t="s">
        <v>546</v>
      </c>
      <c r="AE104" t="s">
        <v>79</v>
      </c>
      <c r="AF104" t="s">
        <v>75</v>
      </c>
      <c r="AG104" t="s">
        <v>168</v>
      </c>
      <c r="AH104" t="s">
        <v>76</v>
      </c>
      <c r="AI104" t="s">
        <v>75</v>
      </c>
      <c r="AJ104" t="s">
        <v>110</v>
      </c>
      <c r="AK104" t="s">
        <v>115</v>
      </c>
      <c r="AL104" t="s">
        <v>115</v>
      </c>
      <c r="AM104" t="s">
        <v>116</v>
      </c>
      <c r="AN104">
        <v>67</v>
      </c>
      <c r="AO104">
        <v>23</v>
      </c>
      <c r="AP104">
        <v>22</v>
      </c>
      <c r="AQ104" t="s">
        <v>84</v>
      </c>
      <c r="AR104" t="s">
        <v>84</v>
      </c>
      <c r="AS104" t="s">
        <v>85</v>
      </c>
      <c r="AT104" t="s">
        <v>75</v>
      </c>
      <c r="AU104" t="s">
        <v>76</v>
      </c>
      <c r="AV104">
        <v>0.5514</v>
      </c>
      <c r="AW104">
        <v>0.73299999999999998</v>
      </c>
      <c r="AX104">
        <v>0.69130000000000003</v>
      </c>
      <c r="AY104">
        <v>0.5514</v>
      </c>
      <c r="AZ104">
        <v>0.73299999999999998</v>
      </c>
      <c r="BA104">
        <v>0.69130000000000003</v>
      </c>
      <c r="BB104" t="s">
        <v>86</v>
      </c>
      <c r="BC104">
        <v>0.73299999999999998</v>
      </c>
      <c r="BD104">
        <v>0.5514</v>
      </c>
      <c r="BE104">
        <v>0</v>
      </c>
      <c r="BF104">
        <v>0.1036</v>
      </c>
      <c r="BG104">
        <v>0</v>
      </c>
      <c r="BH104">
        <v>0.12659999999999999</v>
      </c>
      <c r="BI104">
        <v>0</v>
      </c>
      <c r="BJ104">
        <v>0.1036</v>
      </c>
      <c r="BK104" t="s">
        <v>75</v>
      </c>
      <c r="BL104" t="s">
        <v>168</v>
      </c>
    </row>
    <row r="105" spans="1:64" x14ac:dyDescent="0.55000000000000004">
      <c r="A105" t="s">
        <v>416</v>
      </c>
      <c r="B105">
        <v>16</v>
      </c>
      <c r="C105">
        <v>1</v>
      </c>
      <c r="D105">
        <v>1</v>
      </c>
      <c r="E105">
        <v>1</v>
      </c>
      <c r="F105">
        <v>16.100000000000001</v>
      </c>
      <c r="G105" t="s">
        <v>417</v>
      </c>
      <c r="H105" t="s">
        <v>418</v>
      </c>
      <c r="I105" t="s">
        <v>419</v>
      </c>
      <c r="J105">
        <v>2023</v>
      </c>
      <c r="K105" t="s">
        <v>272</v>
      </c>
      <c r="L105" t="s">
        <v>420</v>
      </c>
      <c r="M105" t="s">
        <v>99</v>
      </c>
      <c r="N105" t="s">
        <v>100</v>
      </c>
      <c r="O105" t="s">
        <v>414</v>
      </c>
      <c r="P105" t="str">
        <f>VLOOKUP(O105,Sheet3!$A$1:$B$22,2,0)</f>
        <v>Review Analysis</v>
      </c>
      <c r="Q105" t="s">
        <v>110</v>
      </c>
      <c r="R105" t="s">
        <v>75</v>
      </c>
      <c r="S105" t="s">
        <v>75</v>
      </c>
      <c r="T105" t="s">
        <v>75</v>
      </c>
      <c r="U105" t="s">
        <v>75</v>
      </c>
      <c r="V105" t="s">
        <v>76</v>
      </c>
      <c r="W105" t="s">
        <v>75</v>
      </c>
      <c r="X105" t="s">
        <v>135</v>
      </c>
      <c r="Y105" t="s">
        <v>135</v>
      </c>
      <c r="Z105" t="s">
        <v>77</v>
      </c>
      <c r="AA105" t="s">
        <v>78</v>
      </c>
      <c r="AB105" t="s">
        <v>110</v>
      </c>
      <c r="AC105" t="s">
        <v>135</v>
      </c>
      <c r="AD105" t="s">
        <v>545</v>
      </c>
      <c r="AE105" t="s">
        <v>79</v>
      </c>
      <c r="AF105" t="s">
        <v>75</v>
      </c>
      <c r="AG105" t="s">
        <v>421</v>
      </c>
      <c r="AH105" t="s">
        <v>75</v>
      </c>
      <c r="AI105" t="s">
        <v>75</v>
      </c>
      <c r="AK105" t="s">
        <v>115</v>
      </c>
      <c r="AL105" t="s">
        <v>115</v>
      </c>
      <c r="AM105" t="s">
        <v>116</v>
      </c>
      <c r="AN105">
        <v>199</v>
      </c>
      <c r="AO105">
        <v>100</v>
      </c>
      <c r="AP105">
        <v>100</v>
      </c>
      <c r="AQ105" t="s">
        <v>84</v>
      </c>
      <c r="AR105" t="s">
        <v>84</v>
      </c>
      <c r="AS105" t="s">
        <v>164</v>
      </c>
      <c r="AT105" t="s">
        <v>75</v>
      </c>
      <c r="AU105" t="s">
        <v>76</v>
      </c>
      <c r="AV105">
        <v>0.55500000000000005</v>
      </c>
      <c r="AW105">
        <v>0.5</v>
      </c>
      <c r="AX105">
        <v>0.53939999999999999</v>
      </c>
      <c r="AY105">
        <v>0.55500000000000005</v>
      </c>
      <c r="AZ105">
        <v>0.5</v>
      </c>
      <c r="BA105">
        <v>0.53939999999999999</v>
      </c>
      <c r="BB105" t="s">
        <v>79</v>
      </c>
      <c r="BC105">
        <v>0.55500000000000005</v>
      </c>
      <c r="BD105">
        <v>0.5</v>
      </c>
      <c r="BE105">
        <v>0</v>
      </c>
      <c r="BF105">
        <v>0.1275</v>
      </c>
      <c r="BG105">
        <v>0</v>
      </c>
      <c r="BH105">
        <v>0.113</v>
      </c>
      <c r="BI105">
        <v>0.1275</v>
      </c>
      <c r="BJ105">
        <v>0</v>
      </c>
      <c r="BK105" t="s">
        <v>75</v>
      </c>
      <c r="BL105" t="s">
        <v>422</v>
      </c>
    </row>
    <row r="106" spans="1:64" x14ac:dyDescent="0.55000000000000004">
      <c r="A106" t="s">
        <v>416</v>
      </c>
      <c r="B106">
        <v>16</v>
      </c>
      <c r="C106">
        <v>1</v>
      </c>
      <c r="D106">
        <v>2</v>
      </c>
      <c r="E106">
        <v>1</v>
      </c>
      <c r="F106">
        <v>16.100000000000001</v>
      </c>
      <c r="G106" t="s">
        <v>423</v>
      </c>
      <c r="H106" t="s">
        <v>418</v>
      </c>
      <c r="I106" t="s">
        <v>419</v>
      </c>
      <c r="J106">
        <v>2023</v>
      </c>
      <c r="K106" t="s">
        <v>272</v>
      </c>
      <c r="L106" t="s">
        <v>420</v>
      </c>
      <c r="M106" t="s">
        <v>99</v>
      </c>
      <c r="N106" t="s">
        <v>100</v>
      </c>
      <c r="O106" t="s">
        <v>414</v>
      </c>
      <c r="P106" t="str">
        <f>VLOOKUP(O106,Sheet3!$A$1:$B$22,2,0)</f>
        <v>Review Analysis</v>
      </c>
      <c r="Q106" t="s">
        <v>110</v>
      </c>
      <c r="R106" t="s">
        <v>75</v>
      </c>
      <c r="S106" t="s">
        <v>75</v>
      </c>
      <c r="T106" t="s">
        <v>75</v>
      </c>
      <c r="U106" t="s">
        <v>75</v>
      </c>
      <c r="V106" t="s">
        <v>76</v>
      </c>
      <c r="W106" t="s">
        <v>75</v>
      </c>
      <c r="X106" t="s">
        <v>135</v>
      </c>
      <c r="Y106" t="s">
        <v>135</v>
      </c>
      <c r="Z106" t="s">
        <v>77</v>
      </c>
      <c r="AA106" t="s">
        <v>78</v>
      </c>
      <c r="AB106" t="s">
        <v>110</v>
      </c>
      <c r="AC106" t="s">
        <v>135</v>
      </c>
      <c r="AD106" t="s">
        <v>545</v>
      </c>
      <c r="AE106" t="s">
        <v>79</v>
      </c>
      <c r="AF106" t="s">
        <v>75</v>
      </c>
      <c r="AG106" t="s">
        <v>424</v>
      </c>
      <c r="AH106" t="s">
        <v>76</v>
      </c>
      <c r="AI106" t="s">
        <v>75</v>
      </c>
      <c r="AJ106" t="s">
        <v>196</v>
      </c>
      <c r="AK106" t="s">
        <v>115</v>
      </c>
      <c r="AL106" t="s">
        <v>115</v>
      </c>
      <c r="AM106" t="s">
        <v>116</v>
      </c>
      <c r="AN106">
        <v>199</v>
      </c>
      <c r="AO106">
        <v>99</v>
      </c>
      <c r="AP106">
        <v>99</v>
      </c>
      <c r="AQ106" t="s">
        <v>84</v>
      </c>
      <c r="AR106" t="s">
        <v>84</v>
      </c>
      <c r="AS106" t="s">
        <v>164</v>
      </c>
      <c r="AT106" t="s">
        <v>75</v>
      </c>
      <c r="AU106" t="s">
        <v>76</v>
      </c>
      <c r="AV106">
        <v>0.53849999999999998</v>
      </c>
      <c r="AW106">
        <v>0.5</v>
      </c>
      <c r="AX106">
        <v>0.56299999999999994</v>
      </c>
      <c r="AY106">
        <v>0.53849999999999998</v>
      </c>
      <c r="AZ106">
        <v>0.5</v>
      </c>
      <c r="BA106">
        <v>0.56299999999999994</v>
      </c>
      <c r="BB106" t="s">
        <v>79</v>
      </c>
      <c r="BC106">
        <v>0.53849999999999998</v>
      </c>
      <c r="BD106">
        <v>0.5</v>
      </c>
      <c r="BE106">
        <v>1</v>
      </c>
      <c r="BF106">
        <v>0.1246</v>
      </c>
      <c r="BG106">
        <v>0</v>
      </c>
      <c r="BH106">
        <v>0.1</v>
      </c>
      <c r="BI106">
        <v>0.1246</v>
      </c>
      <c r="BJ106">
        <v>0</v>
      </c>
      <c r="BK106" t="s">
        <v>75</v>
      </c>
      <c r="BL106" t="s">
        <v>425</v>
      </c>
    </row>
    <row r="107" spans="1:64" x14ac:dyDescent="0.55000000000000004">
      <c r="A107" t="s">
        <v>426</v>
      </c>
      <c r="B107">
        <v>23</v>
      </c>
      <c r="C107">
        <v>1</v>
      </c>
      <c r="D107">
        <v>1</v>
      </c>
      <c r="E107">
        <v>1</v>
      </c>
      <c r="F107">
        <v>23.1</v>
      </c>
      <c r="G107" t="s">
        <v>427</v>
      </c>
      <c r="H107" t="s">
        <v>534</v>
      </c>
      <c r="I107" t="s">
        <v>428</v>
      </c>
      <c r="J107">
        <v>2022</v>
      </c>
      <c r="K107" t="s">
        <v>272</v>
      </c>
      <c r="L107" t="s">
        <v>429</v>
      </c>
      <c r="M107" t="s">
        <v>108</v>
      </c>
      <c r="N107" t="s">
        <v>72</v>
      </c>
      <c r="O107" t="s">
        <v>430</v>
      </c>
      <c r="P107" s="9" t="s">
        <v>550</v>
      </c>
      <c r="Q107" t="s">
        <v>110</v>
      </c>
      <c r="R107" t="s">
        <v>75</v>
      </c>
      <c r="S107" t="s">
        <v>75</v>
      </c>
      <c r="T107" t="s">
        <v>75</v>
      </c>
      <c r="U107" t="s">
        <v>75</v>
      </c>
      <c r="V107" t="s">
        <v>76</v>
      </c>
      <c r="W107" t="s">
        <v>75</v>
      </c>
      <c r="X107" t="s">
        <v>135</v>
      </c>
      <c r="Y107" t="s">
        <v>135</v>
      </c>
      <c r="Z107" t="s">
        <v>77</v>
      </c>
      <c r="AA107" t="s">
        <v>112</v>
      </c>
      <c r="AB107" t="s">
        <v>110</v>
      </c>
      <c r="AC107" t="s">
        <v>135</v>
      </c>
      <c r="AD107" t="s">
        <v>112</v>
      </c>
      <c r="AE107" t="s">
        <v>79</v>
      </c>
      <c r="AF107" t="s">
        <v>75</v>
      </c>
      <c r="AG107" t="s">
        <v>431</v>
      </c>
      <c r="AH107" t="s">
        <v>76</v>
      </c>
      <c r="AI107" t="s">
        <v>75</v>
      </c>
      <c r="AJ107" t="s">
        <v>196</v>
      </c>
      <c r="AK107" t="s">
        <v>115</v>
      </c>
      <c r="AL107" t="s">
        <v>115</v>
      </c>
      <c r="AM107" t="s">
        <v>116</v>
      </c>
      <c r="AN107">
        <v>959</v>
      </c>
      <c r="AO107">
        <v>91</v>
      </c>
      <c r="AP107">
        <v>91</v>
      </c>
      <c r="AQ107" t="s">
        <v>84</v>
      </c>
      <c r="AR107" t="s">
        <v>84</v>
      </c>
      <c r="AS107" t="s">
        <v>164</v>
      </c>
      <c r="AT107" t="s">
        <v>75</v>
      </c>
      <c r="AU107" t="s">
        <v>76</v>
      </c>
      <c r="AV107">
        <v>0.78</v>
      </c>
      <c r="AW107">
        <v>0.96</v>
      </c>
      <c r="AX107">
        <v>0.83</v>
      </c>
      <c r="AY107">
        <v>0.78</v>
      </c>
      <c r="AZ107">
        <v>0.96</v>
      </c>
      <c r="BA107">
        <v>0.83</v>
      </c>
      <c r="BB107" t="s">
        <v>86</v>
      </c>
      <c r="BC107">
        <v>0.96</v>
      </c>
      <c r="BD107">
        <v>0.78</v>
      </c>
      <c r="BE107">
        <v>0</v>
      </c>
      <c r="BF107">
        <v>0.12</v>
      </c>
      <c r="BG107">
        <v>0</v>
      </c>
      <c r="BH107">
        <v>0.12</v>
      </c>
      <c r="BI107">
        <v>0</v>
      </c>
      <c r="BJ107">
        <v>0.12</v>
      </c>
      <c r="BK107" t="s">
        <v>75</v>
      </c>
      <c r="BL107" t="s">
        <v>432</v>
      </c>
    </row>
    <row r="108" spans="1:64" x14ac:dyDescent="0.55000000000000004">
      <c r="A108" t="s">
        <v>426</v>
      </c>
      <c r="B108">
        <v>23</v>
      </c>
      <c r="C108">
        <v>1</v>
      </c>
      <c r="D108">
        <v>2</v>
      </c>
      <c r="E108">
        <v>1</v>
      </c>
      <c r="F108">
        <v>23.1</v>
      </c>
      <c r="G108" t="s">
        <v>433</v>
      </c>
      <c r="H108" t="s">
        <v>534</v>
      </c>
      <c r="I108" t="s">
        <v>428</v>
      </c>
      <c r="J108">
        <v>2022</v>
      </c>
      <c r="K108" t="s">
        <v>272</v>
      </c>
      <c r="L108" t="s">
        <v>429</v>
      </c>
      <c r="M108" t="s">
        <v>108</v>
      </c>
      <c r="N108" t="s">
        <v>72</v>
      </c>
      <c r="O108" t="s">
        <v>430</v>
      </c>
      <c r="P108" s="9" t="s">
        <v>550</v>
      </c>
      <c r="Q108" t="s">
        <v>110</v>
      </c>
      <c r="R108" t="s">
        <v>75</v>
      </c>
      <c r="S108" t="s">
        <v>75</v>
      </c>
      <c r="T108" t="s">
        <v>75</v>
      </c>
      <c r="U108" t="s">
        <v>75</v>
      </c>
      <c r="V108" t="s">
        <v>76</v>
      </c>
      <c r="W108" t="s">
        <v>75</v>
      </c>
      <c r="X108" t="s">
        <v>135</v>
      </c>
      <c r="Y108" t="s">
        <v>135</v>
      </c>
      <c r="Z108" t="s">
        <v>77</v>
      </c>
      <c r="AA108" t="s">
        <v>112</v>
      </c>
      <c r="AB108" t="s">
        <v>110</v>
      </c>
      <c r="AC108" t="s">
        <v>135</v>
      </c>
      <c r="AD108" t="s">
        <v>112</v>
      </c>
      <c r="AE108" t="s">
        <v>79</v>
      </c>
      <c r="AF108" t="s">
        <v>75</v>
      </c>
      <c r="AG108" t="s">
        <v>434</v>
      </c>
      <c r="AH108" t="s">
        <v>76</v>
      </c>
      <c r="AI108" t="s">
        <v>75</v>
      </c>
      <c r="AJ108" t="s">
        <v>196</v>
      </c>
      <c r="AK108" t="s">
        <v>115</v>
      </c>
      <c r="AL108" t="s">
        <v>115</v>
      </c>
      <c r="AM108" t="s">
        <v>116</v>
      </c>
      <c r="AN108">
        <v>959</v>
      </c>
      <c r="AO108">
        <v>102</v>
      </c>
      <c r="AP108">
        <v>102</v>
      </c>
      <c r="AQ108" t="s">
        <v>84</v>
      </c>
      <c r="AR108" t="s">
        <v>84</v>
      </c>
      <c r="AS108" t="s">
        <v>164</v>
      </c>
      <c r="AT108" t="s">
        <v>75</v>
      </c>
      <c r="AU108" t="s">
        <v>76</v>
      </c>
      <c r="AV108">
        <v>0.8</v>
      </c>
      <c r="AW108">
        <v>0.96</v>
      </c>
      <c r="AX108">
        <v>0.82</v>
      </c>
      <c r="AY108">
        <v>0.8</v>
      </c>
      <c r="AZ108">
        <v>0.96</v>
      </c>
      <c r="BA108">
        <v>0.82</v>
      </c>
      <c r="BB108" t="s">
        <v>86</v>
      </c>
      <c r="BC108">
        <v>0.96</v>
      </c>
      <c r="BD108">
        <v>0.8</v>
      </c>
      <c r="BE108">
        <v>0</v>
      </c>
      <c r="BF108">
        <v>0.11</v>
      </c>
      <c r="BG108">
        <v>0</v>
      </c>
      <c r="BH108">
        <v>0.12</v>
      </c>
      <c r="BI108">
        <v>0</v>
      </c>
      <c r="BJ108">
        <v>0.11</v>
      </c>
      <c r="BK108" t="s">
        <v>75</v>
      </c>
      <c r="BL108" t="s">
        <v>435</v>
      </c>
    </row>
    <row r="109" spans="1:64" x14ac:dyDescent="0.55000000000000004">
      <c r="A109" t="s">
        <v>426</v>
      </c>
      <c r="B109">
        <v>23</v>
      </c>
      <c r="C109">
        <v>1</v>
      </c>
      <c r="D109">
        <v>3</v>
      </c>
      <c r="E109">
        <v>1</v>
      </c>
      <c r="F109">
        <v>23.1</v>
      </c>
      <c r="G109" t="s">
        <v>436</v>
      </c>
      <c r="H109" t="s">
        <v>534</v>
      </c>
      <c r="I109" t="s">
        <v>428</v>
      </c>
      <c r="J109">
        <v>2022</v>
      </c>
      <c r="K109" t="s">
        <v>272</v>
      </c>
      <c r="L109" t="s">
        <v>429</v>
      </c>
      <c r="M109" t="s">
        <v>108</v>
      </c>
      <c r="N109" t="s">
        <v>72</v>
      </c>
      <c r="O109" t="s">
        <v>430</v>
      </c>
      <c r="P109" s="9" t="s">
        <v>550</v>
      </c>
      <c r="Q109" t="s">
        <v>110</v>
      </c>
      <c r="R109" t="s">
        <v>75</v>
      </c>
      <c r="S109" t="s">
        <v>75</v>
      </c>
      <c r="T109" t="s">
        <v>75</v>
      </c>
      <c r="U109" t="s">
        <v>75</v>
      </c>
      <c r="V109" t="s">
        <v>76</v>
      </c>
      <c r="W109" t="s">
        <v>75</v>
      </c>
      <c r="X109" t="s">
        <v>135</v>
      </c>
      <c r="Y109" t="s">
        <v>135</v>
      </c>
      <c r="Z109" t="s">
        <v>77</v>
      </c>
      <c r="AA109" t="s">
        <v>112</v>
      </c>
      <c r="AB109" t="s">
        <v>110</v>
      </c>
      <c r="AC109" t="s">
        <v>135</v>
      </c>
      <c r="AD109" t="s">
        <v>112</v>
      </c>
      <c r="AE109" t="s">
        <v>79</v>
      </c>
      <c r="AF109" t="s">
        <v>75</v>
      </c>
      <c r="AG109" t="s">
        <v>437</v>
      </c>
      <c r="AH109" t="s">
        <v>75</v>
      </c>
      <c r="AI109" t="s">
        <v>75</v>
      </c>
      <c r="AJ109" t="s">
        <v>75</v>
      </c>
      <c r="AK109" t="s">
        <v>115</v>
      </c>
      <c r="AL109" t="s">
        <v>115</v>
      </c>
      <c r="AM109" t="s">
        <v>116</v>
      </c>
      <c r="AN109">
        <v>959</v>
      </c>
      <c r="AO109">
        <v>92</v>
      </c>
      <c r="AP109">
        <v>92</v>
      </c>
      <c r="AQ109" t="s">
        <v>84</v>
      </c>
      <c r="AR109" t="s">
        <v>84</v>
      </c>
      <c r="AS109" t="s">
        <v>164</v>
      </c>
      <c r="AT109" t="s">
        <v>75</v>
      </c>
      <c r="AU109" t="s">
        <v>76</v>
      </c>
      <c r="AV109">
        <v>0.8</v>
      </c>
      <c r="AW109">
        <v>0.96</v>
      </c>
      <c r="AX109">
        <v>0.84</v>
      </c>
      <c r="AY109">
        <v>0.8</v>
      </c>
      <c r="AZ109">
        <v>0.96</v>
      </c>
      <c r="BA109">
        <v>0.84</v>
      </c>
      <c r="BB109" t="s">
        <v>86</v>
      </c>
      <c r="BC109">
        <v>0.96</v>
      </c>
      <c r="BD109">
        <v>0.8</v>
      </c>
      <c r="BE109">
        <v>0</v>
      </c>
      <c r="BF109">
        <v>0.12</v>
      </c>
      <c r="BG109">
        <v>0</v>
      </c>
      <c r="BH109">
        <v>0.11</v>
      </c>
      <c r="BI109">
        <v>0</v>
      </c>
      <c r="BJ109">
        <v>0.12</v>
      </c>
      <c r="BK109" t="s">
        <v>75</v>
      </c>
      <c r="BL109" t="s">
        <v>438</v>
      </c>
    </row>
    <row r="110" spans="1:64" x14ac:dyDescent="0.55000000000000004">
      <c r="A110" t="s">
        <v>426</v>
      </c>
      <c r="B110">
        <v>23</v>
      </c>
      <c r="C110">
        <v>1</v>
      </c>
      <c r="D110">
        <v>4</v>
      </c>
      <c r="E110">
        <v>1</v>
      </c>
      <c r="F110">
        <v>23.1</v>
      </c>
      <c r="G110" t="s">
        <v>439</v>
      </c>
      <c r="H110" t="s">
        <v>534</v>
      </c>
      <c r="I110" t="s">
        <v>428</v>
      </c>
      <c r="J110">
        <v>2022</v>
      </c>
      <c r="K110" t="s">
        <v>272</v>
      </c>
      <c r="L110" t="s">
        <v>429</v>
      </c>
      <c r="M110" t="s">
        <v>108</v>
      </c>
      <c r="N110" t="s">
        <v>72</v>
      </c>
      <c r="O110" t="s">
        <v>430</v>
      </c>
      <c r="P110" s="9" t="s">
        <v>550</v>
      </c>
      <c r="Q110" t="s">
        <v>110</v>
      </c>
      <c r="R110" t="s">
        <v>75</v>
      </c>
      <c r="S110" t="s">
        <v>75</v>
      </c>
      <c r="T110" t="s">
        <v>75</v>
      </c>
      <c r="U110" t="s">
        <v>75</v>
      </c>
      <c r="V110" t="s">
        <v>76</v>
      </c>
      <c r="W110" t="s">
        <v>75</v>
      </c>
      <c r="X110" t="s">
        <v>135</v>
      </c>
      <c r="Y110" t="s">
        <v>135</v>
      </c>
      <c r="Z110" t="s">
        <v>77</v>
      </c>
      <c r="AA110" t="s">
        <v>78</v>
      </c>
      <c r="AB110" t="s">
        <v>110</v>
      </c>
      <c r="AC110" t="s">
        <v>135</v>
      </c>
      <c r="AD110" t="s">
        <v>545</v>
      </c>
      <c r="AE110" t="s">
        <v>79</v>
      </c>
      <c r="AF110" t="s">
        <v>75</v>
      </c>
      <c r="AG110" t="s">
        <v>440</v>
      </c>
      <c r="AH110" t="s">
        <v>76</v>
      </c>
      <c r="AI110" t="s">
        <v>75</v>
      </c>
      <c r="AJ110" t="s">
        <v>196</v>
      </c>
      <c r="AK110" t="s">
        <v>115</v>
      </c>
      <c r="AL110" t="s">
        <v>115</v>
      </c>
      <c r="AM110" t="s">
        <v>116</v>
      </c>
      <c r="AN110">
        <v>959</v>
      </c>
      <c r="AO110">
        <v>96</v>
      </c>
      <c r="AP110">
        <v>96</v>
      </c>
      <c r="AQ110" t="s">
        <v>84</v>
      </c>
      <c r="AR110" t="s">
        <v>84</v>
      </c>
      <c r="AS110" t="s">
        <v>164</v>
      </c>
      <c r="AT110" t="s">
        <v>75</v>
      </c>
      <c r="AU110" t="s">
        <v>76</v>
      </c>
      <c r="AV110">
        <v>0.79</v>
      </c>
      <c r="AW110">
        <v>0.76</v>
      </c>
      <c r="AX110">
        <v>0.81</v>
      </c>
      <c r="AY110">
        <v>0.79</v>
      </c>
      <c r="AZ110">
        <v>0.76</v>
      </c>
      <c r="BA110">
        <v>0.81</v>
      </c>
      <c r="BB110" t="s">
        <v>79</v>
      </c>
      <c r="BC110">
        <v>0.79</v>
      </c>
      <c r="BD110">
        <v>0.76</v>
      </c>
      <c r="BE110">
        <v>1</v>
      </c>
      <c r="BF110">
        <v>0.12</v>
      </c>
      <c r="BG110">
        <v>0</v>
      </c>
      <c r="BH110">
        <v>0.11</v>
      </c>
      <c r="BI110">
        <v>0.12</v>
      </c>
      <c r="BJ110">
        <v>0</v>
      </c>
      <c r="BK110" t="s">
        <v>75</v>
      </c>
      <c r="BL110" t="s">
        <v>438</v>
      </c>
    </row>
    <row r="111" spans="1:64" x14ac:dyDescent="0.55000000000000004">
      <c r="A111" t="s">
        <v>426</v>
      </c>
      <c r="B111">
        <v>23</v>
      </c>
      <c r="C111">
        <v>1</v>
      </c>
      <c r="D111">
        <v>5</v>
      </c>
      <c r="E111">
        <v>1</v>
      </c>
      <c r="F111">
        <v>23.1</v>
      </c>
      <c r="G111" t="s">
        <v>441</v>
      </c>
      <c r="H111" t="s">
        <v>534</v>
      </c>
      <c r="I111" t="s">
        <v>428</v>
      </c>
      <c r="J111">
        <v>2022</v>
      </c>
      <c r="K111" t="s">
        <v>272</v>
      </c>
      <c r="L111" t="s">
        <v>429</v>
      </c>
      <c r="M111" t="s">
        <v>108</v>
      </c>
      <c r="N111" t="s">
        <v>72</v>
      </c>
      <c r="O111" t="s">
        <v>430</v>
      </c>
      <c r="P111" s="9" t="s">
        <v>550</v>
      </c>
      <c r="Q111" t="s">
        <v>110</v>
      </c>
      <c r="R111" t="s">
        <v>75</v>
      </c>
      <c r="S111" t="s">
        <v>75</v>
      </c>
      <c r="T111" t="s">
        <v>75</v>
      </c>
      <c r="U111" t="s">
        <v>75</v>
      </c>
      <c r="V111" t="s">
        <v>76</v>
      </c>
      <c r="W111" t="s">
        <v>75</v>
      </c>
      <c r="X111" t="s">
        <v>135</v>
      </c>
      <c r="Y111" t="s">
        <v>135</v>
      </c>
      <c r="Z111" t="s">
        <v>77</v>
      </c>
      <c r="AA111" t="s">
        <v>112</v>
      </c>
      <c r="AB111" t="s">
        <v>110</v>
      </c>
      <c r="AC111" t="s">
        <v>135</v>
      </c>
      <c r="AD111" t="s">
        <v>112</v>
      </c>
      <c r="AE111" t="s">
        <v>79</v>
      </c>
      <c r="AF111" t="s">
        <v>75</v>
      </c>
      <c r="AG111" t="s">
        <v>442</v>
      </c>
      <c r="AH111" t="s">
        <v>76</v>
      </c>
      <c r="AI111" t="s">
        <v>75</v>
      </c>
      <c r="AJ111" t="s">
        <v>196</v>
      </c>
      <c r="AK111" t="s">
        <v>115</v>
      </c>
      <c r="AL111" t="s">
        <v>115</v>
      </c>
      <c r="AM111" t="s">
        <v>116</v>
      </c>
      <c r="AN111">
        <v>959</v>
      </c>
      <c r="AO111">
        <v>103</v>
      </c>
      <c r="AP111">
        <v>103</v>
      </c>
      <c r="AQ111" t="s">
        <v>84</v>
      </c>
      <c r="AR111" t="s">
        <v>84</v>
      </c>
      <c r="AS111" t="s">
        <v>164</v>
      </c>
      <c r="AT111" t="s">
        <v>75</v>
      </c>
      <c r="AU111" t="s">
        <v>76</v>
      </c>
      <c r="AV111">
        <v>0.8</v>
      </c>
      <c r="AW111">
        <v>0.76</v>
      </c>
      <c r="AX111">
        <v>0.79</v>
      </c>
      <c r="AY111">
        <v>0.8</v>
      </c>
      <c r="AZ111">
        <v>0.76</v>
      </c>
      <c r="BA111">
        <v>0.79</v>
      </c>
      <c r="BB111" t="s">
        <v>79</v>
      </c>
      <c r="BC111">
        <v>0.8</v>
      </c>
      <c r="BD111">
        <v>0.76</v>
      </c>
      <c r="BE111">
        <v>0</v>
      </c>
      <c r="BF111">
        <v>0.12</v>
      </c>
      <c r="BG111">
        <v>0</v>
      </c>
      <c r="BH111">
        <v>0.14000000000000001</v>
      </c>
      <c r="BI111">
        <v>0.12</v>
      </c>
      <c r="BJ111">
        <v>0</v>
      </c>
      <c r="BK111" t="s">
        <v>75</v>
      </c>
      <c r="BL111" t="s">
        <v>195</v>
      </c>
    </row>
    <row r="112" spans="1:64" x14ac:dyDescent="0.55000000000000004">
      <c r="A112" t="s">
        <v>426</v>
      </c>
      <c r="B112">
        <v>23</v>
      </c>
      <c r="C112">
        <v>1</v>
      </c>
      <c r="D112">
        <v>6</v>
      </c>
      <c r="E112">
        <v>1</v>
      </c>
      <c r="F112">
        <v>23.1</v>
      </c>
      <c r="G112" t="s">
        <v>443</v>
      </c>
      <c r="H112" t="s">
        <v>534</v>
      </c>
      <c r="I112" t="s">
        <v>428</v>
      </c>
      <c r="J112">
        <v>2022</v>
      </c>
      <c r="K112" t="s">
        <v>272</v>
      </c>
      <c r="L112" t="s">
        <v>429</v>
      </c>
      <c r="M112" t="s">
        <v>108</v>
      </c>
      <c r="N112" t="s">
        <v>72</v>
      </c>
      <c r="O112" t="s">
        <v>430</v>
      </c>
      <c r="P112" s="9" t="s">
        <v>550</v>
      </c>
      <c r="Q112" t="s">
        <v>110</v>
      </c>
      <c r="R112" t="s">
        <v>75</v>
      </c>
      <c r="S112" t="s">
        <v>75</v>
      </c>
      <c r="T112" t="s">
        <v>75</v>
      </c>
      <c r="U112" t="s">
        <v>75</v>
      </c>
      <c r="V112" t="s">
        <v>76</v>
      </c>
      <c r="W112" t="s">
        <v>75</v>
      </c>
      <c r="X112" t="s">
        <v>135</v>
      </c>
      <c r="Y112" t="s">
        <v>135</v>
      </c>
      <c r="Z112" t="s">
        <v>77</v>
      </c>
      <c r="AA112" t="s">
        <v>112</v>
      </c>
      <c r="AB112" t="s">
        <v>110</v>
      </c>
      <c r="AC112" t="s">
        <v>135</v>
      </c>
      <c r="AD112" t="s">
        <v>112</v>
      </c>
      <c r="AE112" t="s">
        <v>79</v>
      </c>
      <c r="AF112" t="s">
        <v>75</v>
      </c>
      <c r="AG112" t="s">
        <v>444</v>
      </c>
      <c r="AH112" t="s">
        <v>75</v>
      </c>
      <c r="AI112" t="s">
        <v>75</v>
      </c>
      <c r="AJ112" t="s">
        <v>75</v>
      </c>
      <c r="AK112" t="s">
        <v>115</v>
      </c>
      <c r="AL112" t="s">
        <v>115</v>
      </c>
      <c r="AM112" t="s">
        <v>116</v>
      </c>
      <c r="AN112">
        <v>959</v>
      </c>
      <c r="AO112">
        <v>100</v>
      </c>
      <c r="AP112">
        <v>100</v>
      </c>
      <c r="AQ112" t="s">
        <v>84</v>
      </c>
      <c r="AR112" t="s">
        <v>84</v>
      </c>
      <c r="AS112" t="s">
        <v>164</v>
      </c>
      <c r="AT112" t="s">
        <v>75</v>
      </c>
      <c r="AU112" t="s">
        <v>76</v>
      </c>
      <c r="AV112">
        <v>0.8</v>
      </c>
      <c r="AW112">
        <v>0.76</v>
      </c>
      <c r="AX112">
        <v>0.81</v>
      </c>
      <c r="AY112">
        <v>0.8</v>
      </c>
      <c r="AZ112">
        <v>0.76</v>
      </c>
      <c r="BA112">
        <v>0.81</v>
      </c>
      <c r="BB112" t="s">
        <v>79</v>
      </c>
      <c r="BC112">
        <v>0.8</v>
      </c>
      <c r="BD112">
        <v>0.76</v>
      </c>
      <c r="BE112">
        <v>1</v>
      </c>
      <c r="BF112">
        <v>0.12</v>
      </c>
      <c r="BG112">
        <v>0</v>
      </c>
      <c r="BH112">
        <v>0.13</v>
      </c>
      <c r="BI112">
        <v>0.12</v>
      </c>
      <c r="BJ112">
        <v>0</v>
      </c>
      <c r="BK112" t="s">
        <v>75</v>
      </c>
      <c r="BL112" t="s">
        <v>200</v>
      </c>
    </row>
    <row r="113" spans="1:65" x14ac:dyDescent="0.55000000000000004">
      <c r="A113" t="s">
        <v>426</v>
      </c>
      <c r="B113">
        <v>23</v>
      </c>
      <c r="C113">
        <v>1</v>
      </c>
      <c r="D113">
        <v>7</v>
      </c>
      <c r="E113">
        <v>1</v>
      </c>
      <c r="F113">
        <v>23.1</v>
      </c>
      <c r="G113" t="s">
        <v>445</v>
      </c>
      <c r="H113" t="s">
        <v>534</v>
      </c>
      <c r="I113" t="s">
        <v>428</v>
      </c>
      <c r="J113">
        <v>2022</v>
      </c>
      <c r="K113" t="s">
        <v>272</v>
      </c>
      <c r="L113" t="s">
        <v>429</v>
      </c>
      <c r="M113" t="s">
        <v>108</v>
      </c>
      <c r="N113" t="s">
        <v>72</v>
      </c>
      <c r="O113" t="s">
        <v>430</v>
      </c>
      <c r="P113" s="9" t="s">
        <v>550</v>
      </c>
      <c r="Q113" t="s">
        <v>110</v>
      </c>
      <c r="R113" t="s">
        <v>75</v>
      </c>
      <c r="S113" t="s">
        <v>75</v>
      </c>
      <c r="T113" t="s">
        <v>75</v>
      </c>
      <c r="U113" t="s">
        <v>75</v>
      </c>
      <c r="V113" t="s">
        <v>76</v>
      </c>
      <c r="W113" t="s">
        <v>75</v>
      </c>
      <c r="X113" t="s">
        <v>135</v>
      </c>
      <c r="Y113" t="s">
        <v>135</v>
      </c>
      <c r="Z113" t="s">
        <v>77</v>
      </c>
      <c r="AA113" t="s">
        <v>112</v>
      </c>
      <c r="AB113" t="s">
        <v>110</v>
      </c>
      <c r="AC113" t="s">
        <v>135</v>
      </c>
      <c r="AD113" t="s">
        <v>112</v>
      </c>
      <c r="AE113" t="s">
        <v>79</v>
      </c>
      <c r="AF113" t="s">
        <v>75</v>
      </c>
      <c r="AG113" t="s">
        <v>446</v>
      </c>
      <c r="AH113" t="s">
        <v>76</v>
      </c>
      <c r="AI113" t="s">
        <v>75</v>
      </c>
      <c r="AJ113" t="s">
        <v>196</v>
      </c>
      <c r="AK113" t="s">
        <v>115</v>
      </c>
      <c r="AL113" t="s">
        <v>115</v>
      </c>
      <c r="AM113" t="s">
        <v>116</v>
      </c>
      <c r="AN113">
        <v>959</v>
      </c>
      <c r="AO113">
        <v>100</v>
      </c>
      <c r="AP113">
        <v>100</v>
      </c>
      <c r="AQ113" t="s">
        <v>84</v>
      </c>
      <c r="AR113" t="s">
        <v>84</v>
      </c>
      <c r="AS113" t="s">
        <v>164</v>
      </c>
      <c r="AT113" t="s">
        <v>75</v>
      </c>
      <c r="AU113" t="s">
        <v>76</v>
      </c>
      <c r="AV113">
        <v>0.78</v>
      </c>
      <c r="AW113">
        <v>0.04</v>
      </c>
      <c r="AX113">
        <v>0.74</v>
      </c>
      <c r="AY113">
        <v>0.78</v>
      </c>
      <c r="AZ113">
        <v>0.04</v>
      </c>
      <c r="BA113">
        <v>0.74</v>
      </c>
      <c r="BB113" t="s">
        <v>79</v>
      </c>
      <c r="BC113">
        <v>0.78</v>
      </c>
      <c r="BD113">
        <v>0.04</v>
      </c>
      <c r="BE113">
        <v>0</v>
      </c>
      <c r="BF113">
        <v>0.12</v>
      </c>
      <c r="BG113">
        <v>0</v>
      </c>
      <c r="BH113">
        <v>0.18</v>
      </c>
      <c r="BI113">
        <v>0.12</v>
      </c>
      <c r="BJ113">
        <v>0</v>
      </c>
      <c r="BK113" t="s">
        <v>75</v>
      </c>
      <c r="BL113" t="s">
        <v>447</v>
      </c>
    </row>
    <row r="114" spans="1:65" x14ac:dyDescent="0.55000000000000004">
      <c r="A114" t="s">
        <v>426</v>
      </c>
      <c r="B114">
        <v>23</v>
      </c>
      <c r="C114">
        <v>1</v>
      </c>
      <c r="D114">
        <v>8</v>
      </c>
      <c r="E114">
        <v>1</v>
      </c>
      <c r="F114">
        <v>23.1</v>
      </c>
      <c r="G114" t="s">
        <v>448</v>
      </c>
      <c r="H114" t="s">
        <v>534</v>
      </c>
      <c r="I114" t="s">
        <v>428</v>
      </c>
      <c r="J114">
        <v>2022</v>
      </c>
      <c r="K114" t="s">
        <v>272</v>
      </c>
      <c r="L114" t="s">
        <v>429</v>
      </c>
      <c r="M114" t="s">
        <v>108</v>
      </c>
      <c r="N114" t="s">
        <v>72</v>
      </c>
      <c r="O114" t="s">
        <v>430</v>
      </c>
      <c r="P114" s="9" t="s">
        <v>550</v>
      </c>
      <c r="Q114" t="s">
        <v>110</v>
      </c>
      <c r="R114" t="s">
        <v>75</v>
      </c>
      <c r="S114" t="s">
        <v>75</v>
      </c>
      <c r="T114" t="s">
        <v>75</v>
      </c>
      <c r="U114" t="s">
        <v>75</v>
      </c>
      <c r="V114" t="s">
        <v>76</v>
      </c>
      <c r="W114" t="s">
        <v>75</v>
      </c>
      <c r="X114" t="s">
        <v>135</v>
      </c>
      <c r="Y114" t="s">
        <v>135</v>
      </c>
      <c r="Z114" t="s">
        <v>77</v>
      </c>
      <c r="AA114" t="s">
        <v>112</v>
      </c>
      <c r="AB114" t="s">
        <v>110</v>
      </c>
      <c r="AC114" t="s">
        <v>135</v>
      </c>
      <c r="AD114" t="s">
        <v>112</v>
      </c>
      <c r="AE114" t="s">
        <v>79</v>
      </c>
      <c r="AF114" t="s">
        <v>75</v>
      </c>
      <c r="AG114" t="s">
        <v>449</v>
      </c>
      <c r="AH114" t="s">
        <v>76</v>
      </c>
      <c r="AI114" t="s">
        <v>75</v>
      </c>
      <c r="AJ114" t="s">
        <v>196</v>
      </c>
      <c r="AK114" t="s">
        <v>115</v>
      </c>
      <c r="AL114" t="s">
        <v>115</v>
      </c>
      <c r="AM114" t="s">
        <v>116</v>
      </c>
      <c r="AN114">
        <v>959</v>
      </c>
      <c r="AO114">
        <v>98</v>
      </c>
      <c r="AP114">
        <v>98</v>
      </c>
      <c r="AQ114" t="s">
        <v>84</v>
      </c>
      <c r="AR114" t="s">
        <v>84</v>
      </c>
      <c r="AS114" t="s">
        <v>164</v>
      </c>
      <c r="AT114" t="s">
        <v>75</v>
      </c>
      <c r="AU114" t="s">
        <v>76</v>
      </c>
      <c r="AV114">
        <v>0.79</v>
      </c>
      <c r="AW114">
        <v>0.04</v>
      </c>
      <c r="AX114">
        <v>0.77</v>
      </c>
      <c r="AY114">
        <v>0.79</v>
      </c>
      <c r="AZ114">
        <v>0.04</v>
      </c>
      <c r="BA114">
        <v>0.77</v>
      </c>
      <c r="BB114" t="s">
        <v>79</v>
      </c>
      <c r="BC114">
        <v>0.79</v>
      </c>
      <c r="BD114">
        <v>0.04</v>
      </c>
      <c r="BE114">
        <v>0</v>
      </c>
      <c r="BF114">
        <v>0.13</v>
      </c>
      <c r="BG114">
        <v>0</v>
      </c>
      <c r="BH114">
        <v>0.14000000000000001</v>
      </c>
      <c r="BI114">
        <v>0.13</v>
      </c>
      <c r="BJ114">
        <v>0</v>
      </c>
      <c r="BK114" t="s">
        <v>75</v>
      </c>
      <c r="BL114" t="s">
        <v>450</v>
      </c>
    </row>
    <row r="115" spans="1:65" x14ac:dyDescent="0.55000000000000004">
      <c r="A115" t="s">
        <v>426</v>
      </c>
      <c r="B115">
        <v>23</v>
      </c>
      <c r="C115">
        <v>1</v>
      </c>
      <c r="D115">
        <v>9</v>
      </c>
      <c r="E115">
        <v>1</v>
      </c>
      <c r="F115">
        <v>23.1</v>
      </c>
      <c r="G115" t="s">
        <v>451</v>
      </c>
      <c r="H115" t="s">
        <v>534</v>
      </c>
      <c r="I115" t="s">
        <v>428</v>
      </c>
      <c r="J115">
        <v>2022</v>
      </c>
      <c r="K115" t="s">
        <v>272</v>
      </c>
      <c r="L115" t="s">
        <v>429</v>
      </c>
      <c r="M115" t="s">
        <v>108</v>
      </c>
      <c r="N115" t="s">
        <v>72</v>
      </c>
      <c r="O115" t="s">
        <v>430</v>
      </c>
      <c r="P115" s="9" t="s">
        <v>550</v>
      </c>
      <c r="Q115" t="s">
        <v>110</v>
      </c>
      <c r="R115" t="s">
        <v>75</v>
      </c>
      <c r="S115" t="s">
        <v>75</v>
      </c>
      <c r="T115" t="s">
        <v>75</v>
      </c>
      <c r="U115" t="s">
        <v>75</v>
      </c>
      <c r="V115" t="s">
        <v>76</v>
      </c>
      <c r="W115" t="s">
        <v>75</v>
      </c>
      <c r="X115" t="s">
        <v>135</v>
      </c>
      <c r="Y115" t="s">
        <v>135</v>
      </c>
      <c r="Z115" t="s">
        <v>77</v>
      </c>
      <c r="AA115" t="s">
        <v>112</v>
      </c>
      <c r="AB115" t="s">
        <v>110</v>
      </c>
      <c r="AC115" t="s">
        <v>135</v>
      </c>
      <c r="AD115" t="s">
        <v>112</v>
      </c>
      <c r="AE115" t="s">
        <v>79</v>
      </c>
      <c r="AF115" t="s">
        <v>75</v>
      </c>
      <c r="AG115" t="s">
        <v>452</v>
      </c>
      <c r="AH115" t="s">
        <v>75</v>
      </c>
      <c r="AI115" t="s">
        <v>75</v>
      </c>
      <c r="AJ115" t="s">
        <v>75</v>
      </c>
      <c r="AK115" t="s">
        <v>115</v>
      </c>
      <c r="AL115" t="s">
        <v>115</v>
      </c>
      <c r="AM115" t="s">
        <v>116</v>
      </c>
      <c r="AN115">
        <v>959</v>
      </c>
      <c r="AO115">
        <v>103</v>
      </c>
      <c r="AP115">
        <v>103</v>
      </c>
      <c r="AQ115" t="s">
        <v>84</v>
      </c>
      <c r="AR115" t="s">
        <v>84</v>
      </c>
      <c r="AS115" t="s">
        <v>164</v>
      </c>
      <c r="AT115" t="s">
        <v>75</v>
      </c>
      <c r="AU115" t="s">
        <v>76</v>
      </c>
      <c r="AV115">
        <v>0.79</v>
      </c>
      <c r="AW115">
        <v>0.04</v>
      </c>
      <c r="AX115">
        <v>0.74</v>
      </c>
      <c r="AY115">
        <v>0.79</v>
      </c>
      <c r="AZ115">
        <v>0.04</v>
      </c>
      <c r="BA115">
        <v>0.74</v>
      </c>
      <c r="BB115" t="s">
        <v>79</v>
      </c>
      <c r="BC115">
        <v>0.79</v>
      </c>
      <c r="BD115">
        <v>0.04</v>
      </c>
      <c r="BE115">
        <v>0</v>
      </c>
      <c r="BF115">
        <v>0.11</v>
      </c>
      <c r="BG115">
        <v>0</v>
      </c>
      <c r="BH115">
        <v>0.14000000000000001</v>
      </c>
      <c r="BI115">
        <v>0.11</v>
      </c>
      <c r="BJ115">
        <v>0</v>
      </c>
      <c r="BK115" t="s">
        <v>75</v>
      </c>
      <c r="BL115" t="s">
        <v>453</v>
      </c>
    </row>
    <row r="116" spans="1:65" x14ac:dyDescent="0.55000000000000004">
      <c r="A116" t="s">
        <v>454</v>
      </c>
      <c r="B116">
        <v>24</v>
      </c>
      <c r="C116">
        <v>1</v>
      </c>
      <c r="D116">
        <v>1</v>
      </c>
      <c r="E116">
        <v>1</v>
      </c>
      <c r="F116">
        <v>24.1</v>
      </c>
      <c r="G116" t="s">
        <v>455</v>
      </c>
      <c r="H116" t="s">
        <v>456</v>
      </c>
      <c r="I116" t="s">
        <v>457</v>
      </c>
      <c r="J116">
        <v>2022</v>
      </c>
      <c r="K116" t="s">
        <v>272</v>
      </c>
      <c r="L116" t="s">
        <v>458</v>
      </c>
      <c r="M116" t="s">
        <v>108</v>
      </c>
      <c r="N116" t="s">
        <v>72</v>
      </c>
      <c r="O116" t="s">
        <v>459</v>
      </c>
      <c r="P116" t="str">
        <f>VLOOKUP(O116,Sheet3!$A$1:$B$22,2,0)</f>
        <v>Social Listening</v>
      </c>
      <c r="Q116" t="s">
        <v>110</v>
      </c>
      <c r="R116" t="s">
        <v>75</v>
      </c>
      <c r="S116" t="s">
        <v>75</v>
      </c>
      <c r="T116" t="s">
        <v>75</v>
      </c>
      <c r="U116" t="s">
        <v>75</v>
      </c>
      <c r="V116" t="s">
        <v>76</v>
      </c>
      <c r="W116" t="s">
        <v>75</v>
      </c>
      <c r="X116" t="s">
        <v>110</v>
      </c>
      <c r="Y116" t="s">
        <v>348</v>
      </c>
      <c r="Z116" t="s">
        <v>349</v>
      </c>
      <c r="AA116" t="s">
        <v>460</v>
      </c>
      <c r="AB116" t="s">
        <v>110</v>
      </c>
      <c r="AC116" t="s">
        <v>110</v>
      </c>
      <c r="AD116" t="s">
        <v>112</v>
      </c>
      <c r="AE116" t="s">
        <v>79</v>
      </c>
      <c r="AF116" t="s">
        <v>76</v>
      </c>
      <c r="AG116" t="s">
        <v>432</v>
      </c>
      <c r="AH116" t="s">
        <v>75</v>
      </c>
      <c r="AI116" t="s">
        <v>75</v>
      </c>
      <c r="AK116" t="s">
        <v>352</v>
      </c>
      <c r="AL116" t="s">
        <v>352</v>
      </c>
      <c r="AM116" t="s">
        <v>116</v>
      </c>
      <c r="AN116">
        <v>24</v>
      </c>
      <c r="AO116">
        <v>12</v>
      </c>
      <c r="AP116">
        <v>12</v>
      </c>
      <c r="AQ116" t="s">
        <v>84</v>
      </c>
      <c r="AR116" t="s">
        <v>84</v>
      </c>
      <c r="AS116" t="s">
        <v>461</v>
      </c>
      <c r="AT116" t="s">
        <v>75</v>
      </c>
      <c r="AU116" t="s">
        <v>76</v>
      </c>
      <c r="AV116">
        <v>5.76</v>
      </c>
      <c r="AW116">
        <v>4.6500000000000004</v>
      </c>
      <c r="AX116">
        <v>5.48</v>
      </c>
      <c r="AY116">
        <v>5.7553000000000001</v>
      </c>
      <c r="AZ116">
        <v>4.6516999999999999</v>
      </c>
      <c r="BA116">
        <v>5.4847000000000001</v>
      </c>
      <c r="BB116" t="s">
        <v>79</v>
      </c>
      <c r="BC116">
        <v>5.7553000000000001</v>
      </c>
      <c r="BD116">
        <v>4.6516999999999999</v>
      </c>
      <c r="BE116">
        <v>0</v>
      </c>
      <c r="BF116">
        <v>1.5</v>
      </c>
      <c r="BG116">
        <v>1.17</v>
      </c>
      <c r="BH116">
        <v>1</v>
      </c>
      <c r="BI116">
        <v>1.5</v>
      </c>
      <c r="BJ116">
        <v>1.17</v>
      </c>
      <c r="BK116" t="s">
        <v>75</v>
      </c>
      <c r="BL116" t="s">
        <v>438</v>
      </c>
    </row>
    <row r="117" spans="1:65" x14ac:dyDescent="0.55000000000000004">
      <c r="A117" t="s">
        <v>454</v>
      </c>
      <c r="B117">
        <v>24</v>
      </c>
      <c r="C117">
        <v>1</v>
      </c>
      <c r="D117">
        <v>2</v>
      </c>
      <c r="E117">
        <v>1</v>
      </c>
      <c r="F117">
        <v>24.1</v>
      </c>
      <c r="G117" t="s">
        <v>462</v>
      </c>
      <c r="H117" t="s">
        <v>456</v>
      </c>
      <c r="I117" t="s">
        <v>463</v>
      </c>
      <c r="J117">
        <v>2022</v>
      </c>
      <c r="K117" t="s">
        <v>272</v>
      </c>
      <c r="L117" t="s">
        <v>458</v>
      </c>
      <c r="M117" t="s">
        <v>108</v>
      </c>
      <c r="N117" t="s">
        <v>72</v>
      </c>
      <c r="O117" t="s">
        <v>459</v>
      </c>
      <c r="P117" t="str">
        <f>VLOOKUP(O117,Sheet3!$A$1:$B$22,2,0)</f>
        <v>Social Listening</v>
      </c>
      <c r="Q117" t="s">
        <v>110</v>
      </c>
      <c r="R117" t="s">
        <v>75</v>
      </c>
      <c r="S117" t="s">
        <v>75</v>
      </c>
      <c r="T117" t="s">
        <v>75</v>
      </c>
      <c r="U117" t="s">
        <v>75</v>
      </c>
      <c r="V117" t="s">
        <v>76</v>
      </c>
      <c r="W117" t="s">
        <v>75</v>
      </c>
      <c r="X117" t="s">
        <v>110</v>
      </c>
      <c r="Y117" t="s">
        <v>348</v>
      </c>
      <c r="Z117" t="s">
        <v>349</v>
      </c>
      <c r="AA117" t="s">
        <v>460</v>
      </c>
      <c r="AB117" t="s">
        <v>110</v>
      </c>
      <c r="AC117" t="s">
        <v>110</v>
      </c>
      <c r="AD117" t="s">
        <v>112</v>
      </c>
      <c r="AE117" t="s">
        <v>79</v>
      </c>
      <c r="AF117" t="s">
        <v>76</v>
      </c>
      <c r="AG117" t="s">
        <v>435</v>
      </c>
      <c r="AH117" t="s">
        <v>75</v>
      </c>
      <c r="AI117" t="s">
        <v>75</v>
      </c>
      <c r="AK117" t="s">
        <v>352</v>
      </c>
      <c r="AL117" t="s">
        <v>352</v>
      </c>
      <c r="AM117" t="s">
        <v>116</v>
      </c>
      <c r="AN117">
        <v>24</v>
      </c>
      <c r="AO117">
        <v>12</v>
      </c>
      <c r="AP117">
        <v>12</v>
      </c>
      <c r="AQ117" t="s">
        <v>84</v>
      </c>
      <c r="AR117" t="s">
        <v>84</v>
      </c>
      <c r="AS117" t="s">
        <v>461</v>
      </c>
      <c r="AT117" t="s">
        <v>75</v>
      </c>
      <c r="AU117" t="s">
        <v>76</v>
      </c>
      <c r="AV117">
        <v>5.58</v>
      </c>
      <c r="AW117">
        <v>4.1900000000000004</v>
      </c>
      <c r="AX117">
        <v>5.31</v>
      </c>
      <c r="AY117">
        <v>5.58</v>
      </c>
      <c r="AZ117">
        <v>4.1932999999999998</v>
      </c>
      <c r="BA117">
        <v>5.3121</v>
      </c>
      <c r="BB117" t="s">
        <v>79</v>
      </c>
      <c r="BC117">
        <v>5.58</v>
      </c>
      <c r="BD117">
        <v>4.1932999999999998</v>
      </c>
      <c r="BE117">
        <v>0</v>
      </c>
      <c r="BF117">
        <v>1.25</v>
      </c>
      <c r="BG117">
        <v>1.3</v>
      </c>
      <c r="BH117">
        <v>1.38</v>
      </c>
      <c r="BI117">
        <v>1.25</v>
      </c>
      <c r="BJ117">
        <v>1.3</v>
      </c>
      <c r="BK117" t="s">
        <v>75</v>
      </c>
      <c r="BL117" t="s">
        <v>438</v>
      </c>
    </row>
    <row r="118" spans="1:65" x14ac:dyDescent="0.55000000000000004">
      <c r="A118" t="s">
        <v>464</v>
      </c>
      <c r="B118">
        <v>38</v>
      </c>
      <c r="C118">
        <v>1</v>
      </c>
      <c r="D118">
        <v>1</v>
      </c>
      <c r="E118">
        <v>1</v>
      </c>
      <c r="F118">
        <v>38.1</v>
      </c>
      <c r="G118" t="s">
        <v>465</v>
      </c>
      <c r="H118" t="s">
        <v>466</v>
      </c>
      <c r="I118" t="s">
        <v>467</v>
      </c>
      <c r="J118">
        <v>2021</v>
      </c>
      <c r="K118" t="s">
        <v>272</v>
      </c>
      <c r="L118" t="s">
        <v>468</v>
      </c>
      <c r="M118" t="s">
        <v>217</v>
      </c>
      <c r="N118" t="s">
        <v>100</v>
      </c>
      <c r="O118" t="s">
        <v>469</v>
      </c>
      <c r="P118" t="str">
        <f>VLOOKUP(O118,Sheet3!$A$1:$B$22,2,0)</f>
        <v>Social Listening</v>
      </c>
      <c r="Q118" t="s">
        <v>162</v>
      </c>
      <c r="R118" t="s">
        <v>75</v>
      </c>
      <c r="S118" t="s">
        <v>75</v>
      </c>
      <c r="T118" t="s">
        <v>76</v>
      </c>
      <c r="U118" t="s">
        <v>75</v>
      </c>
      <c r="V118" t="s">
        <v>76</v>
      </c>
      <c r="W118" t="s">
        <v>75</v>
      </c>
      <c r="X118" t="s">
        <v>111</v>
      </c>
      <c r="Y118" t="s">
        <v>111</v>
      </c>
      <c r="Z118" t="s">
        <v>77</v>
      </c>
      <c r="AA118" t="s">
        <v>112</v>
      </c>
      <c r="AB118" t="s">
        <v>196</v>
      </c>
      <c r="AC118" t="s">
        <v>179</v>
      </c>
      <c r="AD118" t="s">
        <v>112</v>
      </c>
      <c r="AE118" t="s">
        <v>79</v>
      </c>
      <c r="AF118" t="s">
        <v>75</v>
      </c>
      <c r="AG118" t="s">
        <v>470</v>
      </c>
      <c r="AH118" t="s">
        <v>76</v>
      </c>
      <c r="AI118" t="s">
        <v>76</v>
      </c>
      <c r="AJ118" t="s">
        <v>120</v>
      </c>
      <c r="AK118" t="s">
        <v>115</v>
      </c>
      <c r="AL118" t="s">
        <v>115</v>
      </c>
      <c r="AM118" t="s">
        <v>116</v>
      </c>
      <c r="AN118">
        <v>14</v>
      </c>
      <c r="AO118">
        <v>14</v>
      </c>
      <c r="AP118">
        <v>14</v>
      </c>
      <c r="AQ118" t="s">
        <v>471</v>
      </c>
      <c r="AR118" t="s">
        <v>472</v>
      </c>
      <c r="AS118" t="s">
        <v>471</v>
      </c>
      <c r="AT118" t="s">
        <v>75</v>
      </c>
      <c r="AU118" t="s">
        <v>75</v>
      </c>
      <c r="AV118">
        <v>0.75</v>
      </c>
      <c r="AW118">
        <v>0.9</v>
      </c>
      <c r="AX118">
        <v>0.89290000000000003</v>
      </c>
      <c r="AY118">
        <v>0.75</v>
      </c>
      <c r="AZ118">
        <v>0.9</v>
      </c>
      <c r="BA118">
        <v>0.89290000000000003</v>
      </c>
      <c r="BB118" t="s">
        <v>86</v>
      </c>
      <c r="BC118">
        <v>0.9</v>
      </c>
      <c r="BD118">
        <v>0.75</v>
      </c>
      <c r="BE118">
        <v>0</v>
      </c>
      <c r="BF118">
        <v>0.3493</v>
      </c>
      <c r="BG118">
        <v>0</v>
      </c>
      <c r="BH118">
        <v>0.17369999999999999</v>
      </c>
      <c r="BI118">
        <v>0</v>
      </c>
      <c r="BJ118">
        <v>0.3493</v>
      </c>
      <c r="BK118" t="s">
        <v>75</v>
      </c>
    </row>
    <row r="119" spans="1:65" x14ac:dyDescent="0.55000000000000004">
      <c r="A119" t="s">
        <v>464</v>
      </c>
      <c r="B119">
        <v>38</v>
      </c>
      <c r="C119">
        <v>1</v>
      </c>
      <c r="D119">
        <v>2</v>
      </c>
      <c r="E119">
        <v>1</v>
      </c>
      <c r="F119">
        <v>38.1</v>
      </c>
      <c r="G119" t="s">
        <v>473</v>
      </c>
      <c r="H119" t="s">
        <v>466</v>
      </c>
      <c r="I119" t="s">
        <v>467</v>
      </c>
      <c r="J119">
        <v>2021</v>
      </c>
      <c r="K119" t="s">
        <v>272</v>
      </c>
      <c r="L119" t="s">
        <v>468</v>
      </c>
      <c r="M119" t="s">
        <v>217</v>
      </c>
      <c r="N119" t="s">
        <v>100</v>
      </c>
      <c r="O119" t="s">
        <v>469</v>
      </c>
      <c r="P119" t="str">
        <f>VLOOKUP(O119,Sheet3!$A$1:$B$22,2,0)</f>
        <v>Social Listening</v>
      </c>
      <c r="Q119" t="s">
        <v>162</v>
      </c>
      <c r="R119" t="s">
        <v>75</v>
      </c>
      <c r="S119" t="s">
        <v>75</v>
      </c>
      <c r="T119" t="s">
        <v>76</v>
      </c>
      <c r="U119" t="s">
        <v>75</v>
      </c>
      <c r="V119" t="s">
        <v>76</v>
      </c>
      <c r="W119" t="s">
        <v>75</v>
      </c>
      <c r="X119" t="s">
        <v>111</v>
      </c>
      <c r="Y119" t="s">
        <v>111</v>
      </c>
      <c r="Z119" t="s">
        <v>77</v>
      </c>
      <c r="AA119" t="s">
        <v>112</v>
      </c>
      <c r="AB119" t="s">
        <v>196</v>
      </c>
      <c r="AC119" t="s">
        <v>179</v>
      </c>
      <c r="AD119" t="s">
        <v>112</v>
      </c>
      <c r="AE119" t="s">
        <v>79</v>
      </c>
      <c r="AF119" t="s">
        <v>75</v>
      </c>
      <c r="AG119" t="s">
        <v>474</v>
      </c>
      <c r="AH119" t="s">
        <v>76</v>
      </c>
      <c r="AI119" t="s">
        <v>76</v>
      </c>
      <c r="AJ119" t="s">
        <v>120</v>
      </c>
      <c r="AK119" t="s">
        <v>115</v>
      </c>
      <c r="AL119" t="s">
        <v>115</v>
      </c>
      <c r="AM119" t="s">
        <v>116</v>
      </c>
      <c r="AN119">
        <v>14</v>
      </c>
      <c r="AO119">
        <v>14</v>
      </c>
      <c r="AP119">
        <v>14</v>
      </c>
      <c r="AQ119" t="s">
        <v>471</v>
      </c>
      <c r="AR119" t="s">
        <v>472</v>
      </c>
      <c r="AS119" t="s">
        <v>471</v>
      </c>
      <c r="AT119" t="s">
        <v>75</v>
      </c>
      <c r="AU119" t="s">
        <v>75</v>
      </c>
      <c r="AV119">
        <v>0.67859999999999998</v>
      </c>
      <c r="AW119">
        <v>0.9</v>
      </c>
      <c r="AX119">
        <v>0.83330000000000004</v>
      </c>
      <c r="AY119">
        <v>0.67859999999999998</v>
      </c>
      <c r="AZ119">
        <v>0.9</v>
      </c>
      <c r="BA119">
        <v>0.83330000000000004</v>
      </c>
      <c r="BB119" t="s">
        <v>86</v>
      </c>
      <c r="BC119">
        <v>0.9</v>
      </c>
      <c r="BD119">
        <v>0.67859999999999998</v>
      </c>
      <c r="BE119">
        <v>0</v>
      </c>
      <c r="BF119">
        <v>0.34189999999999998</v>
      </c>
      <c r="BG119">
        <v>0</v>
      </c>
      <c r="BH119">
        <v>0.19919999999999999</v>
      </c>
      <c r="BI119">
        <v>0</v>
      </c>
      <c r="BJ119">
        <v>0.34189999999999998</v>
      </c>
      <c r="BK119" t="s">
        <v>75</v>
      </c>
      <c r="BL119" t="s">
        <v>475</v>
      </c>
    </row>
    <row r="120" spans="1:65" x14ac:dyDescent="0.55000000000000004">
      <c r="A120" t="s">
        <v>476</v>
      </c>
      <c r="B120">
        <v>51</v>
      </c>
      <c r="C120">
        <v>1</v>
      </c>
      <c r="D120">
        <v>1</v>
      </c>
      <c r="E120">
        <v>1</v>
      </c>
      <c r="F120">
        <v>51.1</v>
      </c>
      <c r="G120" t="s">
        <v>477</v>
      </c>
      <c r="H120" t="s">
        <v>478</v>
      </c>
      <c r="I120" t="s">
        <v>479</v>
      </c>
      <c r="J120">
        <v>2022</v>
      </c>
      <c r="K120" t="s">
        <v>272</v>
      </c>
      <c r="L120" t="s">
        <v>480</v>
      </c>
      <c r="M120" t="s">
        <v>217</v>
      </c>
      <c r="N120" t="s">
        <v>100</v>
      </c>
      <c r="O120" t="s">
        <v>481</v>
      </c>
      <c r="P120" t="str">
        <f>VLOOKUP(O120,Sheet3!$A$1:$B$22,2,0)</f>
        <v>Social Listening</v>
      </c>
      <c r="Q120" t="s">
        <v>482</v>
      </c>
      <c r="R120" t="s">
        <v>75</v>
      </c>
      <c r="S120" t="s">
        <v>75</v>
      </c>
      <c r="T120" t="s">
        <v>75</v>
      </c>
      <c r="U120" t="s">
        <v>75</v>
      </c>
      <c r="V120" t="s">
        <v>75</v>
      </c>
      <c r="W120" t="s">
        <v>76</v>
      </c>
      <c r="X120" t="s">
        <v>135</v>
      </c>
      <c r="Y120" t="s">
        <v>135</v>
      </c>
      <c r="Z120" t="s">
        <v>77</v>
      </c>
      <c r="AA120" t="s">
        <v>112</v>
      </c>
      <c r="AB120" t="s">
        <v>482</v>
      </c>
      <c r="AC120" t="s">
        <v>135</v>
      </c>
      <c r="AD120" t="s">
        <v>112</v>
      </c>
      <c r="AE120" t="s">
        <v>79</v>
      </c>
      <c r="AF120" t="s">
        <v>75</v>
      </c>
      <c r="AG120" t="s">
        <v>483</v>
      </c>
      <c r="AH120" t="s">
        <v>75</v>
      </c>
      <c r="AI120" t="s">
        <v>76</v>
      </c>
      <c r="AK120" t="s">
        <v>115</v>
      </c>
      <c r="AL120" t="s">
        <v>115</v>
      </c>
      <c r="AM120" t="s">
        <v>116</v>
      </c>
      <c r="AN120">
        <v>131</v>
      </c>
      <c r="AO120">
        <v>131</v>
      </c>
      <c r="AP120">
        <v>131</v>
      </c>
      <c r="AQ120" t="s">
        <v>84</v>
      </c>
      <c r="AR120" t="s">
        <v>84</v>
      </c>
      <c r="AS120" t="s">
        <v>164</v>
      </c>
      <c r="AT120" t="s">
        <v>75</v>
      </c>
      <c r="AU120" t="s">
        <v>76</v>
      </c>
      <c r="AV120">
        <v>0.66590000000000005</v>
      </c>
      <c r="AW120">
        <v>0.8004</v>
      </c>
      <c r="AX120">
        <v>0.73299999999999998</v>
      </c>
      <c r="AY120">
        <v>0.66590000000000005</v>
      </c>
      <c r="AZ120">
        <v>0.8004</v>
      </c>
      <c r="BA120">
        <v>0.73299999999999998</v>
      </c>
      <c r="BB120" t="s">
        <v>86</v>
      </c>
      <c r="BC120">
        <v>0.8004</v>
      </c>
      <c r="BD120">
        <v>0.66590000000000005</v>
      </c>
      <c r="BE120">
        <v>0</v>
      </c>
      <c r="BF120">
        <v>0.15909999999999999</v>
      </c>
      <c r="BG120">
        <v>0.113</v>
      </c>
      <c r="BH120">
        <v>0.16850000000000001</v>
      </c>
      <c r="BI120">
        <v>0.11303669</v>
      </c>
      <c r="BJ120">
        <v>0.15909999999999999</v>
      </c>
      <c r="BK120" t="s">
        <v>75</v>
      </c>
    </row>
    <row r="121" spans="1:65" x14ac:dyDescent="0.55000000000000004">
      <c r="A121" t="s">
        <v>476</v>
      </c>
      <c r="B121">
        <v>51</v>
      </c>
      <c r="C121">
        <v>2</v>
      </c>
      <c r="D121">
        <v>2</v>
      </c>
      <c r="E121">
        <v>1</v>
      </c>
      <c r="F121">
        <v>51.2</v>
      </c>
      <c r="G121" t="s">
        <v>484</v>
      </c>
      <c r="H121" t="s">
        <v>478</v>
      </c>
      <c r="I121" t="s">
        <v>479</v>
      </c>
      <c r="J121">
        <v>2022</v>
      </c>
      <c r="K121" t="s">
        <v>272</v>
      </c>
      <c r="L121" t="s">
        <v>480</v>
      </c>
      <c r="M121" t="s">
        <v>217</v>
      </c>
      <c r="N121" t="s">
        <v>100</v>
      </c>
      <c r="O121" t="s">
        <v>481</v>
      </c>
      <c r="P121" t="str">
        <f>VLOOKUP(O121,Sheet3!$A$1:$B$22,2,0)</f>
        <v>Social Listening</v>
      </c>
      <c r="Q121" t="s">
        <v>482</v>
      </c>
      <c r="R121" t="s">
        <v>75</v>
      </c>
      <c r="S121" t="s">
        <v>75</v>
      </c>
      <c r="T121" t="s">
        <v>75</v>
      </c>
      <c r="U121" t="s">
        <v>75</v>
      </c>
      <c r="V121" t="s">
        <v>75</v>
      </c>
      <c r="W121" t="s">
        <v>76</v>
      </c>
      <c r="X121" t="s">
        <v>135</v>
      </c>
      <c r="Y121" t="s">
        <v>135</v>
      </c>
      <c r="Z121" t="s">
        <v>77</v>
      </c>
      <c r="AA121" t="s">
        <v>112</v>
      </c>
      <c r="AB121" t="s">
        <v>482</v>
      </c>
      <c r="AC121" t="s">
        <v>135</v>
      </c>
      <c r="AD121" t="s">
        <v>112</v>
      </c>
      <c r="AE121" t="s">
        <v>79</v>
      </c>
      <c r="AF121" t="s">
        <v>75</v>
      </c>
      <c r="AG121" t="s">
        <v>485</v>
      </c>
      <c r="AH121" t="s">
        <v>75</v>
      </c>
      <c r="AI121" t="s">
        <v>76</v>
      </c>
      <c r="AK121" t="s">
        <v>115</v>
      </c>
      <c r="AL121" t="s">
        <v>115</v>
      </c>
      <c r="AM121" t="s">
        <v>116</v>
      </c>
      <c r="AN121">
        <v>1675</v>
      </c>
      <c r="AO121">
        <v>1675</v>
      </c>
      <c r="AP121">
        <v>1675</v>
      </c>
      <c r="AQ121" t="s">
        <v>219</v>
      </c>
      <c r="AR121" t="s">
        <v>219</v>
      </c>
      <c r="AS121" t="s">
        <v>486</v>
      </c>
      <c r="AT121" t="s">
        <v>75</v>
      </c>
      <c r="AU121" t="s">
        <v>75</v>
      </c>
      <c r="AV121">
        <v>0.7056</v>
      </c>
      <c r="AW121">
        <v>0.80349999999999999</v>
      </c>
      <c r="AX121">
        <v>0.74360000000000004</v>
      </c>
      <c r="AY121">
        <v>0.7056</v>
      </c>
      <c r="AZ121">
        <v>0.80349999999999999</v>
      </c>
      <c r="BA121">
        <v>0.74360000000000004</v>
      </c>
      <c r="BB121" t="s">
        <v>86</v>
      </c>
      <c r="BC121">
        <v>0.80349999999999999</v>
      </c>
      <c r="BD121">
        <v>0.7056</v>
      </c>
      <c r="BE121">
        <v>0</v>
      </c>
      <c r="BF121">
        <v>0.16850000000000001</v>
      </c>
      <c r="BG121">
        <v>0.13600000000000001</v>
      </c>
      <c r="BH121">
        <v>0.16889999999999999</v>
      </c>
      <c r="BI121">
        <v>0.13603590600000001</v>
      </c>
      <c r="BJ121">
        <v>0.16850000000000001</v>
      </c>
      <c r="BK121" t="s">
        <v>75</v>
      </c>
    </row>
    <row r="122" spans="1:65" x14ac:dyDescent="0.55000000000000004">
      <c r="A122" t="s">
        <v>487</v>
      </c>
      <c r="B122">
        <v>4</v>
      </c>
      <c r="C122">
        <v>1</v>
      </c>
      <c r="D122">
        <v>1</v>
      </c>
      <c r="E122">
        <v>1</v>
      </c>
      <c r="F122">
        <v>4.0999999999999996</v>
      </c>
      <c r="G122" t="s">
        <v>488</v>
      </c>
      <c r="H122" t="s">
        <v>489</v>
      </c>
      <c r="I122" t="s">
        <v>490</v>
      </c>
      <c r="J122">
        <v>2021</v>
      </c>
      <c r="K122" t="s">
        <v>272</v>
      </c>
      <c r="L122" t="s">
        <v>491</v>
      </c>
      <c r="M122" t="s">
        <v>108</v>
      </c>
      <c r="N122" t="s">
        <v>72</v>
      </c>
      <c r="O122" t="s">
        <v>492</v>
      </c>
      <c r="P122" t="str">
        <f>VLOOKUP(O122,Sheet3!$A$1:$B$22,2,0)</f>
        <v>Customer Service</v>
      </c>
      <c r="Q122" t="s">
        <v>110</v>
      </c>
      <c r="R122" t="s">
        <v>75</v>
      </c>
      <c r="S122" t="s">
        <v>75</v>
      </c>
      <c r="T122" t="s">
        <v>75</v>
      </c>
      <c r="U122" t="s">
        <v>75</v>
      </c>
      <c r="V122" t="s">
        <v>76</v>
      </c>
      <c r="W122" t="s">
        <v>75</v>
      </c>
      <c r="X122" t="s">
        <v>111</v>
      </c>
      <c r="Y122" t="s">
        <v>111</v>
      </c>
      <c r="Z122" t="s">
        <v>77</v>
      </c>
      <c r="AA122" t="s">
        <v>78</v>
      </c>
      <c r="AB122" t="s">
        <v>110</v>
      </c>
      <c r="AC122" t="s">
        <v>113</v>
      </c>
      <c r="AD122" t="s">
        <v>545</v>
      </c>
      <c r="AE122" t="s">
        <v>79</v>
      </c>
      <c r="AF122" t="s">
        <v>75</v>
      </c>
      <c r="AG122" t="s">
        <v>493</v>
      </c>
      <c r="AH122" t="s">
        <v>75</v>
      </c>
      <c r="AI122" t="s">
        <v>76</v>
      </c>
      <c r="AK122" t="s">
        <v>115</v>
      </c>
      <c r="AL122" t="s">
        <v>115</v>
      </c>
      <c r="AM122" t="s">
        <v>116</v>
      </c>
      <c r="AN122">
        <v>54</v>
      </c>
      <c r="AO122">
        <v>19</v>
      </c>
      <c r="AP122">
        <v>18</v>
      </c>
      <c r="AQ122" t="s">
        <v>84</v>
      </c>
      <c r="AR122" t="s">
        <v>84</v>
      </c>
      <c r="AS122" t="s">
        <v>85</v>
      </c>
      <c r="AT122" t="s">
        <v>75</v>
      </c>
      <c r="AU122" t="s">
        <v>76</v>
      </c>
      <c r="AV122">
        <v>0.72</v>
      </c>
      <c r="AW122">
        <v>0.44</v>
      </c>
      <c r="AX122">
        <v>0.79</v>
      </c>
      <c r="AY122">
        <v>0.72</v>
      </c>
      <c r="AZ122">
        <v>0.44</v>
      </c>
      <c r="BA122">
        <v>0.79</v>
      </c>
      <c r="BB122" t="s">
        <v>79</v>
      </c>
      <c r="BC122">
        <v>0.72</v>
      </c>
      <c r="BD122">
        <v>0.44</v>
      </c>
      <c r="BE122">
        <v>1</v>
      </c>
      <c r="BF122">
        <v>0.1</v>
      </c>
      <c r="BG122">
        <v>0</v>
      </c>
      <c r="BH122">
        <v>0.05</v>
      </c>
      <c r="BI122">
        <v>0.1</v>
      </c>
      <c r="BJ122">
        <v>0</v>
      </c>
      <c r="BK122" t="s">
        <v>75</v>
      </c>
      <c r="BL122" t="s">
        <v>493</v>
      </c>
    </row>
    <row r="123" spans="1:65" x14ac:dyDescent="0.55000000000000004">
      <c r="A123" t="s">
        <v>487</v>
      </c>
      <c r="B123">
        <v>4</v>
      </c>
      <c r="C123">
        <v>1</v>
      </c>
      <c r="D123">
        <v>2</v>
      </c>
      <c r="E123">
        <v>1</v>
      </c>
      <c r="F123">
        <v>4.0999999999999996</v>
      </c>
      <c r="G123" t="s">
        <v>494</v>
      </c>
      <c r="H123" t="s">
        <v>489</v>
      </c>
      <c r="I123" t="s">
        <v>490</v>
      </c>
      <c r="J123">
        <v>2021</v>
      </c>
      <c r="K123" t="s">
        <v>272</v>
      </c>
      <c r="L123" t="s">
        <v>491</v>
      </c>
      <c r="M123" t="s">
        <v>108</v>
      </c>
      <c r="N123" t="s">
        <v>72</v>
      </c>
      <c r="O123" t="s">
        <v>492</v>
      </c>
      <c r="P123" t="str">
        <f>VLOOKUP(O123,Sheet3!$A$1:$B$22,2,0)</f>
        <v>Customer Service</v>
      </c>
      <c r="Q123" t="s">
        <v>110</v>
      </c>
      <c r="R123" t="s">
        <v>75</v>
      </c>
      <c r="S123" t="s">
        <v>75</v>
      </c>
      <c r="T123" t="s">
        <v>75</v>
      </c>
      <c r="U123" t="s">
        <v>75</v>
      </c>
      <c r="V123" t="s">
        <v>76</v>
      </c>
      <c r="W123" t="s">
        <v>75</v>
      </c>
      <c r="X123" t="s">
        <v>111</v>
      </c>
      <c r="Y123" t="s">
        <v>111</v>
      </c>
      <c r="Z123" t="s">
        <v>77</v>
      </c>
      <c r="AA123" t="s">
        <v>78</v>
      </c>
      <c r="AB123" t="s">
        <v>110</v>
      </c>
      <c r="AC123" t="s">
        <v>113</v>
      </c>
      <c r="AD123" t="s">
        <v>545</v>
      </c>
      <c r="AE123" t="s">
        <v>79</v>
      </c>
      <c r="AF123" t="s">
        <v>75</v>
      </c>
      <c r="AG123" t="s">
        <v>495</v>
      </c>
      <c r="AH123" t="s">
        <v>75</v>
      </c>
      <c r="AI123" t="s">
        <v>76</v>
      </c>
      <c r="AK123" t="s">
        <v>115</v>
      </c>
      <c r="AL123" t="s">
        <v>115</v>
      </c>
      <c r="AM123" t="s">
        <v>116</v>
      </c>
      <c r="AN123">
        <v>54</v>
      </c>
      <c r="AO123">
        <v>19</v>
      </c>
      <c r="AP123">
        <v>17</v>
      </c>
      <c r="AQ123" t="s">
        <v>84</v>
      </c>
      <c r="AR123" t="s">
        <v>84</v>
      </c>
      <c r="AS123" t="s">
        <v>85</v>
      </c>
      <c r="AT123" t="s">
        <v>75</v>
      </c>
      <c r="AU123" t="s">
        <v>76</v>
      </c>
      <c r="AV123">
        <v>0.72</v>
      </c>
      <c r="AW123">
        <v>0.59</v>
      </c>
      <c r="AX123">
        <v>0.78</v>
      </c>
      <c r="AY123">
        <v>0.72</v>
      </c>
      <c r="AZ123">
        <v>0.59</v>
      </c>
      <c r="BA123">
        <v>0.78</v>
      </c>
      <c r="BB123" t="s">
        <v>79</v>
      </c>
      <c r="BC123">
        <v>0.72</v>
      </c>
      <c r="BD123">
        <v>0.59</v>
      </c>
      <c r="BE123">
        <v>1</v>
      </c>
      <c r="BF123">
        <v>0.1</v>
      </c>
      <c r="BG123">
        <v>0</v>
      </c>
      <c r="BH123">
        <v>0.05</v>
      </c>
      <c r="BI123">
        <v>0.1</v>
      </c>
      <c r="BJ123">
        <v>0</v>
      </c>
      <c r="BK123" t="s">
        <v>75</v>
      </c>
      <c r="BL123" t="s">
        <v>495</v>
      </c>
    </row>
    <row r="124" spans="1:65" x14ac:dyDescent="0.55000000000000004">
      <c r="A124" t="s">
        <v>496</v>
      </c>
      <c r="B124">
        <v>75</v>
      </c>
      <c r="C124">
        <v>2</v>
      </c>
      <c r="D124">
        <v>1</v>
      </c>
      <c r="E124">
        <v>1</v>
      </c>
      <c r="F124">
        <v>75.2</v>
      </c>
      <c r="G124" t="s">
        <v>497</v>
      </c>
      <c r="H124" t="s">
        <v>498</v>
      </c>
      <c r="I124" t="s">
        <v>499</v>
      </c>
      <c r="J124">
        <v>2022</v>
      </c>
      <c r="K124" t="s">
        <v>272</v>
      </c>
      <c r="L124" t="s">
        <v>500</v>
      </c>
      <c r="M124" t="s">
        <v>108</v>
      </c>
      <c r="N124" t="s">
        <v>72</v>
      </c>
      <c r="O124" t="s">
        <v>469</v>
      </c>
      <c r="P124" t="str">
        <f>VLOOKUP(O124,Sheet3!$A$1:$B$22,2,0)</f>
        <v>Social Listening</v>
      </c>
      <c r="Q124" t="s">
        <v>162</v>
      </c>
      <c r="R124" t="s">
        <v>75</v>
      </c>
      <c r="S124" t="s">
        <v>75</v>
      </c>
      <c r="T124" t="s">
        <v>76</v>
      </c>
      <c r="U124" t="s">
        <v>75</v>
      </c>
      <c r="V124" t="s">
        <v>76</v>
      </c>
      <c r="W124" t="s">
        <v>75</v>
      </c>
      <c r="X124" t="s">
        <v>135</v>
      </c>
      <c r="Y124" t="s">
        <v>135</v>
      </c>
      <c r="Z124" t="s">
        <v>77</v>
      </c>
      <c r="AA124" t="s">
        <v>78</v>
      </c>
      <c r="AB124" t="s">
        <v>196</v>
      </c>
      <c r="AC124" t="s">
        <v>135</v>
      </c>
      <c r="AD124" t="s">
        <v>545</v>
      </c>
      <c r="AE124" t="s">
        <v>79</v>
      </c>
      <c r="AF124" t="s">
        <v>75</v>
      </c>
      <c r="AG124" t="s">
        <v>501</v>
      </c>
      <c r="AH124" t="s">
        <v>75</v>
      </c>
      <c r="AI124" t="s">
        <v>75</v>
      </c>
      <c r="AK124" t="s">
        <v>115</v>
      </c>
      <c r="AL124" t="s">
        <v>115</v>
      </c>
      <c r="AM124" t="s">
        <v>116</v>
      </c>
      <c r="AN124">
        <v>1098</v>
      </c>
      <c r="AO124">
        <v>205</v>
      </c>
      <c r="AP124">
        <v>210</v>
      </c>
      <c r="AQ124" t="s">
        <v>84</v>
      </c>
      <c r="AR124" t="s">
        <v>84</v>
      </c>
      <c r="AS124" t="s">
        <v>85</v>
      </c>
      <c r="AT124" t="s">
        <v>75</v>
      </c>
      <c r="AU124" t="s">
        <v>76</v>
      </c>
      <c r="AV124">
        <v>0.51480000000000004</v>
      </c>
      <c r="AW124">
        <v>0.75</v>
      </c>
      <c r="AX124">
        <v>0.55249999999999999</v>
      </c>
      <c r="AY124">
        <v>0.51480000000000004</v>
      </c>
      <c r="AZ124">
        <v>0.75</v>
      </c>
      <c r="BA124">
        <v>0.55249999999999999</v>
      </c>
      <c r="BB124" t="s">
        <v>86</v>
      </c>
      <c r="BC124">
        <v>0.75</v>
      </c>
      <c r="BD124">
        <v>0.51480000000000004</v>
      </c>
      <c r="BE124">
        <v>0</v>
      </c>
      <c r="BF124">
        <v>0.20250000000000001</v>
      </c>
      <c r="BG124">
        <v>0</v>
      </c>
      <c r="BH124">
        <v>0.20599999999999999</v>
      </c>
      <c r="BI124">
        <v>0</v>
      </c>
      <c r="BJ124">
        <v>0.20250000000000001</v>
      </c>
      <c r="BK124" t="s">
        <v>75</v>
      </c>
    </row>
    <row r="125" spans="1:65" x14ac:dyDescent="0.55000000000000004">
      <c r="A125" t="s">
        <v>496</v>
      </c>
      <c r="B125">
        <v>75</v>
      </c>
      <c r="C125">
        <v>2</v>
      </c>
      <c r="D125">
        <v>3</v>
      </c>
      <c r="E125">
        <v>1</v>
      </c>
      <c r="F125">
        <v>75.2</v>
      </c>
      <c r="G125" t="s">
        <v>502</v>
      </c>
      <c r="H125" t="s">
        <v>498</v>
      </c>
      <c r="I125" t="s">
        <v>499</v>
      </c>
      <c r="J125">
        <v>2022</v>
      </c>
      <c r="K125" t="s">
        <v>272</v>
      </c>
      <c r="L125" t="s">
        <v>500</v>
      </c>
      <c r="M125" t="s">
        <v>108</v>
      </c>
      <c r="N125" t="s">
        <v>72</v>
      </c>
      <c r="O125" t="s">
        <v>469</v>
      </c>
      <c r="P125" t="str">
        <f>VLOOKUP(O125,Sheet3!$A$1:$B$22,2,0)</f>
        <v>Social Listening</v>
      </c>
      <c r="Q125" t="s">
        <v>162</v>
      </c>
      <c r="R125" t="s">
        <v>75</v>
      </c>
      <c r="S125" t="s">
        <v>75</v>
      </c>
      <c r="T125" t="s">
        <v>76</v>
      </c>
      <c r="U125" t="s">
        <v>75</v>
      </c>
      <c r="V125" t="s">
        <v>76</v>
      </c>
      <c r="W125" t="s">
        <v>75</v>
      </c>
      <c r="X125" t="s">
        <v>135</v>
      </c>
      <c r="Y125" t="s">
        <v>135</v>
      </c>
      <c r="Z125" t="s">
        <v>77</v>
      </c>
      <c r="AA125" t="s">
        <v>78</v>
      </c>
      <c r="AB125" t="s">
        <v>196</v>
      </c>
      <c r="AC125" t="s">
        <v>135</v>
      </c>
      <c r="AD125" t="s">
        <v>545</v>
      </c>
      <c r="AE125" t="s">
        <v>79</v>
      </c>
      <c r="AF125" t="s">
        <v>75</v>
      </c>
      <c r="AG125" t="s">
        <v>503</v>
      </c>
      <c r="AH125" t="s">
        <v>75</v>
      </c>
      <c r="AI125" t="s">
        <v>75</v>
      </c>
      <c r="AK125" t="s">
        <v>115</v>
      </c>
      <c r="AL125" t="s">
        <v>115</v>
      </c>
      <c r="AM125" t="s">
        <v>116</v>
      </c>
      <c r="AN125">
        <v>1098</v>
      </c>
      <c r="AO125">
        <v>156</v>
      </c>
      <c r="AP125">
        <v>167</v>
      </c>
      <c r="AQ125" t="s">
        <v>84</v>
      </c>
      <c r="AR125" t="s">
        <v>84</v>
      </c>
      <c r="AS125" t="s">
        <v>85</v>
      </c>
      <c r="AT125" t="s">
        <v>75</v>
      </c>
      <c r="AU125" t="s">
        <v>76</v>
      </c>
      <c r="AV125">
        <v>0.53920000000000001</v>
      </c>
      <c r="AW125">
        <v>0.75</v>
      </c>
      <c r="AX125">
        <v>0.58309999999999995</v>
      </c>
      <c r="AY125">
        <v>0.53920000000000001</v>
      </c>
      <c r="AZ125">
        <v>0.75</v>
      </c>
      <c r="BA125">
        <v>0.58309999999999995</v>
      </c>
      <c r="BB125" t="s">
        <v>86</v>
      </c>
      <c r="BC125">
        <v>0.75</v>
      </c>
      <c r="BD125">
        <v>0.53920000000000001</v>
      </c>
      <c r="BE125">
        <v>0</v>
      </c>
      <c r="BF125">
        <v>0.20230000000000001</v>
      </c>
      <c r="BG125">
        <v>0</v>
      </c>
      <c r="BH125">
        <v>0.17730000000000001</v>
      </c>
      <c r="BI125">
        <v>0</v>
      </c>
      <c r="BJ125">
        <v>0.20230000000000001</v>
      </c>
      <c r="BK125" t="s">
        <v>75</v>
      </c>
    </row>
    <row r="126" spans="1:65" x14ac:dyDescent="0.55000000000000004">
      <c r="A126" t="s">
        <v>496</v>
      </c>
      <c r="B126">
        <v>75</v>
      </c>
      <c r="C126">
        <v>2</v>
      </c>
      <c r="D126">
        <v>4</v>
      </c>
      <c r="E126">
        <v>1</v>
      </c>
      <c r="F126">
        <v>75.2</v>
      </c>
      <c r="G126" t="s">
        <v>504</v>
      </c>
      <c r="H126" t="s">
        <v>498</v>
      </c>
      <c r="I126" t="s">
        <v>499</v>
      </c>
      <c r="J126">
        <v>2022</v>
      </c>
      <c r="K126" t="s">
        <v>272</v>
      </c>
      <c r="L126" t="s">
        <v>500</v>
      </c>
      <c r="M126" t="s">
        <v>108</v>
      </c>
      <c r="N126" t="s">
        <v>72</v>
      </c>
      <c r="O126" t="s">
        <v>469</v>
      </c>
      <c r="P126" t="str">
        <f>VLOOKUP(O126,Sheet3!$A$1:$B$22,2,0)</f>
        <v>Social Listening</v>
      </c>
      <c r="Q126" t="s">
        <v>162</v>
      </c>
      <c r="R126" t="s">
        <v>75</v>
      </c>
      <c r="S126" t="s">
        <v>75</v>
      </c>
      <c r="T126" t="s">
        <v>76</v>
      </c>
      <c r="U126" t="s">
        <v>75</v>
      </c>
      <c r="V126" t="s">
        <v>76</v>
      </c>
      <c r="W126" t="s">
        <v>75</v>
      </c>
      <c r="X126" t="s">
        <v>135</v>
      </c>
      <c r="Y126" t="s">
        <v>135</v>
      </c>
      <c r="Z126" t="s">
        <v>77</v>
      </c>
      <c r="AA126" t="s">
        <v>78</v>
      </c>
      <c r="AB126" t="s">
        <v>196</v>
      </c>
      <c r="AC126" t="s">
        <v>135</v>
      </c>
      <c r="AD126" t="s">
        <v>545</v>
      </c>
      <c r="AE126" t="s">
        <v>79</v>
      </c>
      <c r="AF126" t="s">
        <v>75</v>
      </c>
      <c r="AG126" t="s">
        <v>505</v>
      </c>
      <c r="AH126" t="s">
        <v>75</v>
      </c>
      <c r="AI126" t="s">
        <v>75</v>
      </c>
      <c r="AK126" t="s">
        <v>115</v>
      </c>
      <c r="AL126" t="s">
        <v>115</v>
      </c>
      <c r="AM126" t="s">
        <v>116</v>
      </c>
      <c r="AN126">
        <v>1098</v>
      </c>
      <c r="AO126">
        <v>156</v>
      </c>
      <c r="AP126">
        <v>163</v>
      </c>
      <c r="AQ126" t="s">
        <v>84</v>
      </c>
      <c r="AR126" t="s">
        <v>84</v>
      </c>
      <c r="AS126" t="s">
        <v>85</v>
      </c>
      <c r="AT126" t="s">
        <v>75</v>
      </c>
      <c r="AU126" t="s">
        <v>76</v>
      </c>
      <c r="AV126">
        <v>0.53920000000000001</v>
      </c>
      <c r="AW126">
        <v>0.75</v>
      </c>
      <c r="AX126">
        <v>0.60409999999999997</v>
      </c>
      <c r="AY126">
        <v>0.53920000000000001</v>
      </c>
      <c r="AZ126">
        <v>0.75</v>
      </c>
      <c r="BA126">
        <v>0.60409999999999997</v>
      </c>
      <c r="BB126" t="s">
        <v>86</v>
      </c>
      <c r="BC126">
        <v>0.75</v>
      </c>
      <c r="BD126">
        <v>0.53920000000000001</v>
      </c>
      <c r="BE126">
        <v>0</v>
      </c>
      <c r="BF126">
        <v>0.20230000000000001</v>
      </c>
      <c r="BG126">
        <v>0</v>
      </c>
      <c r="BH126">
        <v>0.20380000000000001</v>
      </c>
      <c r="BI126">
        <v>0</v>
      </c>
      <c r="BJ126">
        <v>0.20230000000000001</v>
      </c>
      <c r="BK126" t="s">
        <v>75</v>
      </c>
    </row>
    <row r="127" spans="1:65" x14ac:dyDescent="0.55000000000000004">
      <c r="A127" t="s">
        <v>496</v>
      </c>
      <c r="B127">
        <v>75</v>
      </c>
      <c r="C127">
        <v>1</v>
      </c>
      <c r="D127">
        <v>1</v>
      </c>
      <c r="E127">
        <v>1</v>
      </c>
      <c r="F127">
        <v>75.099999999999994</v>
      </c>
      <c r="G127" t="s">
        <v>506</v>
      </c>
      <c r="H127" t="s">
        <v>498</v>
      </c>
      <c r="I127" t="s">
        <v>499</v>
      </c>
      <c r="J127">
        <v>2022</v>
      </c>
      <c r="K127" t="s">
        <v>272</v>
      </c>
      <c r="L127" t="s">
        <v>500</v>
      </c>
      <c r="M127" t="s">
        <v>108</v>
      </c>
      <c r="N127" t="s">
        <v>72</v>
      </c>
      <c r="O127" t="s">
        <v>469</v>
      </c>
      <c r="P127" t="str">
        <f>VLOOKUP(O127,Sheet3!$A$1:$B$22,2,0)</f>
        <v>Social Listening</v>
      </c>
      <c r="Q127" t="s">
        <v>110</v>
      </c>
      <c r="R127" t="s">
        <v>75</v>
      </c>
      <c r="S127" t="s">
        <v>75</v>
      </c>
      <c r="T127" t="s">
        <v>75</v>
      </c>
      <c r="U127" t="s">
        <v>75</v>
      </c>
      <c r="V127" t="s">
        <v>76</v>
      </c>
      <c r="W127" t="s">
        <v>75</v>
      </c>
      <c r="X127" t="s">
        <v>135</v>
      </c>
      <c r="Y127" t="s">
        <v>135</v>
      </c>
      <c r="Z127" t="s">
        <v>77</v>
      </c>
      <c r="AA127" t="s">
        <v>78</v>
      </c>
      <c r="AB127" t="s">
        <v>110</v>
      </c>
      <c r="AC127" t="s">
        <v>135</v>
      </c>
      <c r="AD127" t="s">
        <v>545</v>
      </c>
      <c r="AE127" t="s">
        <v>79</v>
      </c>
      <c r="AF127" t="s">
        <v>75</v>
      </c>
      <c r="AG127" t="s">
        <v>507</v>
      </c>
      <c r="AH127" t="s">
        <v>75</v>
      </c>
      <c r="AI127" t="s">
        <v>75</v>
      </c>
      <c r="AK127" t="s">
        <v>115</v>
      </c>
      <c r="AL127" t="s">
        <v>115</v>
      </c>
      <c r="AM127" t="s">
        <v>116</v>
      </c>
      <c r="AN127">
        <v>359</v>
      </c>
      <c r="AO127">
        <v>182</v>
      </c>
      <c r="AP127">
        <v>177</v>
      </c>
      <c r="AQ127" t="s">
        <v>84</v>
      </c>
      <c r="AR127" t="s">
        <v>84</v>
      </c>
      <c r="AS127" t="s">
        <v>85</v>
      </c>
      <c r="AT127" t="s">
        <v>75</v>
      </c>
      <c r="AU127" t="s">
        <v>76</v>
      </c>
      <c r="AV127">
        <v>0.55979999999999996</v>
      </c>
      <c r="AW127">
        <v>0.75</v>
      </c>
      <c r="AX127">
        <v>0.5655</v>
      </c>
      <c r="AY127">
        <v>0.55979999999999996</v>
      </c>
      <c r="AZ127">
        <v>0.75</v>
      </c>
      <c r="BA127">
        <v>0.5655</v>
      </c>
      <c r="BB127" t="s">
        <v>86</v>
      </c>
      <c r="BC127">
        <v>0.75</v>
      </c>
      <c r="BD127">
        <v>0.55979999999999996</v>
      </c>
      <c r="BE127">
        <v>0</v>
      </c>
      <c r="BF127">
        <v>0.1754</v>
      </c>
      <c r="BG127">
        <v>0</v>
      </c>
      <c r="BH127">
        <v>0.187</v>
      </c>
      <c r="BI127">
        <v>0</v>
      </c>
      <c r="BJ127">
        <v>0.1754</v>
      </c>
      <c r="BK127" t="s">
        <v>75</v>
      </c>
    </row>
    <row r="128" spans="1:65" x14ac:dyDescent="0.55000000000000004">
      <c r="A128" t="s">
        <v>508</v>
      </c>
      <c r="B128">
        <v>81</v>
      </c>
      <c r="C128">
        <v>1</v>
      </c>
      <c r="D128">
        <v>1</v>
      </c>
      <c r="E128">
        <v>1</v>
      </c>
      <c r="F128">
        <v>1.1000000000000001</v>
      </c>
      <c r="G128" t="s">
        <v>509</v>
      </c>
      <c r="H128" t="s">
        <v>510</v>
      </c>
      <c r="I128" t="s">
        <v>511</v>
      </c>
      <c r="J128">
        <v>2024</v>
      </c>
      <c r="K128" t="s">
        <v>272</v>
      </c>
      <c r="L128" t="s">
        <v>512</v>
      </c>
      <c r="M128" t="s">
        <v>262</v>
      </c>
      <c r="N128" t="s">
        <v>100</v>
      </c>
      <c r="O128" t="s">
        <v>513</v>
      </c>
      <c r="P128" t="str">
        <f>VLOOKUP(O128,Sheet3!$A$1:$B$22,2,0)</f>
        <v>Demand Forecasting</v>
      </c>
      <c r="Q128" t="s">
        <v>110</v>
      </c>
      <c r="R128" t="s">
        <v>75</v>
      </c>
      <c r="S128" t="s">
        <v>75</v>
      </c>
      <c r="T128" t="s">
        <v>75</v>
      </c>
      <c r="U128" t="s">
        <v>76</v>
      </c>
      <c r="V128" t="s">
        <v>76</v>
      </c>
      <c r="W128" t="s">
        <v>75</v>
      </c>
      <c r="X128" t="s">
        <v>111</v>
      </c>
      <c r="Y128" t="s">
        <v>111</v>
      </c>
      <c r="Z128" t="s">
        <v>77</v>
      </c>
      <c r="AA128" t="s">
        <v>112</v>
      </c>
      <c r="AB128" t="s">
        <v>179</v>
      </c>
      <c r="AC128" t="s">
        <v>179</v>
      </c>
      <c r="AD128" t="s">
        <v>112</v>
      </c>
      <c r="AE128" t="s">
        <v>79</v>
      </c>
      <c r="AF128" t="s">
        <v>75</v>
      </c>
      <c r="AG128" t="s">
        <v>264</v>
      </c>
      <c r="AH128" t="s">
        <v>76</v>
      </c>
      <c r="AI128" t="s">
        <v>76</v>
      </c>
      <c r="AJ128" t="s">
        <v>514</v>
      </c>
      <c r="AK128" t="s">
        <v>115</v>
      </c>
      <c r="AL128" t="s">
        <v>115</v>
      </c>
      <c r="AM128" t="s">
        <v>116</v>
      </c>
      <c r="AN128">
        <v>1</v>
      </c>
      <c r="AO128">
        <v>119</v>
      </c>
      <c r="AP128">
        <v>223</v>
      </c>
      <c r="AQ128" t="s">
        <v>515</v>
      </c>
      <c r="AR128" t="s">
        <v>472</v>
      </c>
      <c r="AS128" t="s">
        <v>516</v>
      </c>
      <c r="AT128" t="s">
        <v>76</v>
      </c>
      <c r="AU128" t="s">
        <v>75</v>
      </c>
      <c r="AV128">
        <v>0.87</v>
      </c>
      <c r="AW128">
        <v>0.89</v>
      </c>
      <c r="AX128">
        <v>0.92</v>
      </c>
      <c r="AY128">
        <v>0.87</v>
      </c>
      <c r="AZ128">
        <v>0.89</v>
      </c>
      <c r="BA128">
        <v>0.92</v>
      </c>
      <c r="BB128" t="s">
        <v>86</v>
      </c>
      <c r="BC128">
        <v>0.89</v>
      </c>
      <c r="BD128">
        <v>0.87</v>
      </c>
      <c r="BE128">
        <v>1</v>
      </c>
      <c r="BF128">
        <v>0.24</v>
      </c>
      <c r="BG128">
        <v>0</v>
      </c>
      <c r="BH128">
        <v>0.23</v>
      </c>
      <c r="BI128">
        <v>0</v>
      </c>
      <c r="BJ128">
        <v>0.24</v>
      </c>
      <c r="BK128" t="s">
        <v>76</v>
      </c>
      <c r="BL128" t="s">
        <v>517</v>
      </c>
      <c r="BM128" t="s">
        <v>518</v>
      </c>
    </row>
    <row r="129" spans="1:64" x14ac:dyDescent="0.55000000000000004">
      <c r="A129" t="s">
        <v>519</v>
      </c>
      <c r="B129">
        <v>67</v>
      </c>
      <c r="C129">
        <v>1</v>
      </c>
      <c r="D129">
        <v>1</v>
      </c>
      <c r="E129">
        <v>1</v>
      </c>
      <c r="F129">
        <v>67.099999999999994</v>
      </c>
      <c r="G129" t="s">
        <v>520</v>
      </c>
      <c r="H129" t="s">
        <v>521</v>
      </c>
      <c r="I129" t="s">
        <v>522</v>
      </c>
      <c r="J129">
        <v>2022</v>
      </c>
      <c r="K129" t="s">
        <v>272</v>
      </c>
      <c r="M129" t="s">
        <v>217</v>
      </c>
      <c r="N129" t="s">
        <v>100</v>
      </c>
      <c r="P129" t="s">
        <v>551</v>
      </c>
      <c r="Q129" t="s">
        <v>134</v>
      </c>
      <c r="R129" t="s">
        <v>75</v>
      </c>
      <c r="S129" t="s">
        <v>75</v>
      </c>
      <c r="T129" t="s">
        <v>76</v>
      </c>
      <c r="U129" t="s">
        <v>75</v>
      </c>
      <c r="V129" t="s">
        <v>75</v>
      </c>
      <c r="W129" t="s">
        <v>75</v>
      </c>
      <c r="X129" t="s">
        <v>135</v>
      </c>
      <c r="Y129" t="s">
        <v>135</v>
      </c>
      <c r="Z129" t="s">
        <v>77</v>
      </c>
      <c r="AA129" t="s">
        <v>235</v>
      </c>
      <c r="AB129" t="s">
        <v>134</v>
      </c>
      <c r="AC129" t="s">
        <v>179</v>
      </c>
      <c r="AD129" t="s">
        <v>546</v>
      </c>
      <c r="AE129" t="s">
        <v>79</v>
      </c>
      <c r="AF129" t="s">
        <v>75</v>
      </c>
      <c r="AH129" t="s">
        <v>75</v>
      </c>
      <c r="AI129" t="s">
        <v>76</v>
      </c>
      <c r="AK129" t="s">
        <v>115</v>
      </c>
      <c r="AL129" t="s">
        <v>115</v>
      </c>
      <c r="AM129" t="s">
        <v>116</v>
      </c>
      <c r="AN129">
        <v>278</v>
      </c>
      <c r="AO129">
        <v>278</v>
      </c>
      <c r="AP129">
        <v>278</v>
      </c>
      <c r="AQ129" t="s">
        <v>84</v>
      </c>
      <c r="AR129" t="s">
        <v>84</v>
      </c>
      <c r="AS129" t="s">
        <v>164</v>
      </c>
      <c r="AT129" t="s">
        <v>75</v>
      </c>
      <c r="AU129" t="s">
        <v>76</v>
      </c>
      <c r="AV129">
        <v>0.65469999999999995</v>
      </c>
      <c r="AW129">
        <v>0.78590000000000004</v>
      </c>
      <c r="AX129">
        <v>0.74590000000000001</v>
      </c>
      <c r="AY129">
        <v>0.65469999999999995</v>
      </c>
      <c r="AZ129">
        <v>0.78590000000000004</v>
      </c>
      <c r="BA129">
        <v>0.74590000000000001</v>
      </c>
      <c r="BB129" t="s">
        <v>86</v>
      </c>
      <c r="BC129">
        <v>0.78590000000000004</v>
      </c>
      <c r="BD129">
        <v>0.65469999999999995</v>
      </c>
      <c r="BE129">
        <v>0</v>
      </c>
      <c r="BF129">
        <v>0.11269999999999999</v>
      </c>
      <c r="BG129">
        <v>0.124</v>
      </c>
      <c r="BH129">
        <v>0.1069</v>
      </c>
      <c r="BI129">
        <v>0.12397672</v>
      </c>
      <c r="BJ129">
        <v>0.11269999999999999</v>
      </c>
      <c r="BK129" t="s">
        <v>75</v>
      </c>
      <c r="BL129" t="s">
        <v>523</v>
      </c>
    </row>
    <row r="130" spans="1:64" x14ac:dyDescent="0.55000000000000004">
      <c r="A130" t="s">
        <v>519</v>
      </c>
      <c r="B130">
        <v>67</v>
      </c>
      <c r="C130">
        <v>2</v>
      </c>
      <c r="D130">
        <v>1</v>
      </c>
      <c r="E130">
        <v>1</v>
      </c>
      <c r="F130">
        <v>67.2</v>
      </c>
      <c r="G130" t="s">
        <v>524</v>
      </c>
      <c r="H130" t="s">
        <v>521</v>
      </c>
      <c r="I130" t="s">
        <v>522</v>
      </c>
      <c r="J130">
        <v>2022</v>
      </c>
      <c r="K130" t="s">
        <v>272</v>
      </c>
      <c r="M130" t="s">
        <v>217</v>
      </c>
      <c r="N130" t="s">
        <v>100</v>
      </c>
      <c r="P130" t="s">
        <v>551</v>
      </c>
      <c r="Q130" t="s">
        <v>134</v>
      </c>
      <c r="R130" t="s">
        <v>75</v>
      </c>
      <c r="S130" t="s">
        <v>75</v>
      </c>
      <c r="T130" t="s">
        <v>76</v>
      </c>
      <c r="U130" t="s">
        <v>75</v>
      </c>
      <c r="V130" t="s">
        <v>75</v>
      </c>
      <c r="W130" t="s">
        <v>75</v>
      </c>
      <c r="X130" t="s">
        <v>135</v>
      </c>
      <c r="Y130" t="s">
        <v>135</v>
      </c>
      <c r="Z130" t="s">
        <v>77</v>
      </c>
      <c r="AA130" t="s">
        <v>235</v>
      </c>
      <c r="AB130" t="s">
        <v>134</v>
      </c>
      <c r="AC130" t="s">
        <v>179</v>
      </c>
      <c r="AD130" t="s">
        <v>546</v>
      </c>
      <c r="AE130" t="s">
        <v>79</v>
      </c>
      <c r="AF130" t="s">
        <v>75</v>
      </c>
      <c r="AH130" t="s">
        <v>75</v>
      </c>
      <c r="AI130" t="s">
        <v>76</v>
      </c>
      <c r="AK130" t="s">
        <v>115</v>
      </c>
      <c r="AL130" t="s">
        <v>115</v>
      </c>
      <c r="AM130" t="s">
        <v>116</v>
      </c>
      <c r="AN130">
        <v>79</v>
      </c>
      <c r="AO130">
        <v>79</v>
      </c>
      <c r="AP130">
        <v>79</v>
      </c>
      <c r="AQ130" t="s">
        <v>84</v>
      </c>
      <c r="AR130" t="s">
        <v>84</v>
      </c>
      <c r="AS130" t="s">
        <v>164</v>
      </c>
      <c r="AT130" t="s">
        <v>75</v>
      </c>
      <c r="AU130" t="s">
        <v>76</v>
      </c>
      <c r="AV130">
        <v>0.70730000000000004</v>
      </c>
      <c r="AW130">
        <v>0.76980000000000004</v>
      </c>
      <c r="AX130">
        <v>0.77139999999999997</v>
      </c>
      <c r="AY130">
        <v>0.70730000000000004</v>
      </c>
      <c r="AZ130">
        <v>0.76980000000000004</v>
      </c>
      <c r="BA130">
        <v>0.77139999999999997</v>
      </c>
      <c r="BB130" t="s">
        <v>86</v>
      </c>
      <c r="BC130">
        <v>0.76980000000000004</v>
      </c>
      <c r="BD130">
        <v>0.70730000000000004</v>
      </c>
      <c r="BE130">
        <v>1</v>
      </c>
      <c r="BF130">
        <v>0.11</v>
      </c>
      <c r="BG130">
        <v>0.1182</v>
      </c>
      <c r="BH130">
        <v>9.8599999999999993E-2</v>
      </c>
      <c r="BI130">
        <v>0.11820716000000001</v>
      </c>
      <c r="BJ130">
        <v>0.11</v>
      </c>
      <c r="BK130" t="s">
        <v>75</v>
      </c>
      <c r="BL130" t="s">
        <v>525</v>
      </c>
    </row>
    <row r="131" spans="1:64" x14ac:dyDescent="0.55000000000000004">
      <c r="A131" t="s">
        <v>519</v>
      </c>
      <c r="B131">
        <v>67</v>
      </c>
      <c r="C131">
        <v>5</v>
      </c>
      <c r="D131">
        <v>1</v>
      </c>
      <c r="E131">
        <v>1</v>
      </c>
      <c r="F131">
        <v>67.5</v>
      </c>
      <c r="G131" t="s">
        <v>526</v>
      </c>
      <c r="H131" t="s">
        <v>521</v>
      </c>
      <c r="I131" t="s">
        <v>522</v>
      </c>
      <c r="J131">
        <v>2022</v>
      </c>
      <c r="K131" t="s">
        <v>272</v>
      </c>
      <c r="M131" t="s">
        <v>217</v>
      </c>
      <c r="N131" t="s">
        <v>100</v>
      </c>
      <c r="P131" t="s">
        <v>551</v>
      </c>
      <c r="Q131" t="s">
        <v>134</v>
      </c>
      <c r="R131" t="s">
        <v>75</v>
      </c>
      <c r="S131" t="s">
        <v>75</v>
      </c>
      <c r="T131" t="s">
        <v>76</v>
      </c>
      <c r="U131" t="s">
        <v>75</v>
      </c>
      <c r="V131" t="s">
        <v>75</v>
      </c>
      <c r="W131" t="s">
        <v>75</v>
      </c>
      <c r="X131" t="s">
        <v>135</v>
      </c>
      <c r="Y131" t="s">
        <v>135</v>
      </c>
      <c r="Z131" t="s">
        <v>77</v>
      </c>
      <c r="AA131" t="s">
        <v>112</v>
      </c>
      <c r="AB131" t="s">
        <v>134</v>
      </c>
      <c r="AC131" t="s">
        <v>179</v>
      </c>
      <c r="AD131" t="s">
        <v>112</v>
      </c>
      <c r="AE131" t="s">
        <v>79</v>
      </c>
      <c r="AF131" t="s">
        <v>75</v>
      </c>
      <c r="AH131" t="s">
        <v>75</v>
      </c>
      <c r="AI131" t="s">
        <v>76</v>
      </c>
      <c r="AK131" t="s">
        <v>115</v>
      </c>
      <c r="AL131" t="s">
        <v>115</v>
      </c>
      <c r="AM131" t="s">
        <v>116</v>
      </c>
      <c r="AN131">
        <v>20</v>
      </c>
      <c r="AO131">
        <v>20</v>
      </c>
      <c r="AP131">
        <v>20</v>
      </c>
      <c r="AQ131" t="s">
        <v>527</v>
      </c>
      <c r="AR131" t="s">
        <v>472</v>
      </c>
      <c r="AS131" t="s">
        <v>528</v>
      </c>
      <c r="AT131" t="s">
        <v>76</v>
      </c>
      <c r="AU131" t="s">
        <v>75</v>
      </c>
      <c r="AV131">
        <v>0.67920000000000003</v>
      </c>
      <c r="AW131">
        <v>0.83330000000000004</v>
      </c>
      <c r="AX131">
        <v>0.74170000000000003</v>
      </c>
      <c r="AY131">
        <v>0.67920000000000003</v>
      </c>
      <c r="AZ131">
        <v>0.83330000000000004</v>
      </c>
      <c r="BA131">
        <v>0.74170000000000003</v>
      </c>
      <c r="BB131" t="s">
        <v>86</v>
      </c>
      <c r="BC131">
        <v>0.83330000000000004</v>
      </c>
      <c r="BD131">
        <v>0.67920000000000003</v>
      </c>
      <c r="BE131">
        <v>0</v>
      </c>
      <c r="BF131">
        <v>7.3499999999999996E-2</v>
      </c>
      <c r="BG131">
        <v>0</v>
      </c>
      <c r="BH131">
        <v>6.2600000000000003E-2</v>
      </c>
      <c r="BI131">
        <v>0</v>
      </c>
      <c r="BJ131">
        <v>7.3499999999999996E-2</v>
      </c>
      <c r="BK131" t="s">
        <v>75</v>
      </c>
      <c r="BL131" t="s">
        <v>529</v>
      </c>
    </row>
    <row r="132" spans="1:64" x14ac:dyDescent="0.55000000000000004">
      <c r="A132" t="s">
        <v>519</v>
      </c>
      <c r="B132">
        <v>67</v>
      </c>
      <c r="C132">
        <v>4</v>
      </c>
      <c r="D132">
        <v>1</v>
      </c>
      <c r="E132">
        <v>1</v>
      </c>
      <c r="F132">
        <v>67.400000000000006</v>
      </c>
      <c r="G132" t="s">
        <v>530</v>
      </c>
      <c r="H132" t="s">
        <v>521</v>
      </c>
      <c r="I132" t="s">
        <v>522</v>
      </c>
      <c r="J132">
        <v>2022</v>
      </c>
      <c r="K132" t="s">
        <v>272</v>
      </c>
      <c r="M132" t="s">
        <v>217</v>
      </c>
      <c r="N132" t="s">
        <v>100</v>
      </c>
      <c r="P132" t="s">
        <v>551</v>
      </c>
      <c r="Q132" t="s">
        <v>162</v>
      </c>
      <c r="R132" t="s">
        <v>76</v>
      </c>
      <c r="S132" t="s">
        <v>75</v>
      </c>
      <c r="T132" t="s">
        <v>75</v>
      </c>
      <c r="U132" t="s">
        <v>76</v>
      </c>
      <c r="V132" t="s">
        <v>75</v>
      </c>
      <c r="W132" t="s">
        <v>75</v>
      </c>
      <c r="X132" t="s">
        <v>135</v>
      </c>
      <c r="Y132" t="s">
        <v>135</v>
      </c>
      <c r="Z132" t="s">
        <v>77</v>
      </c>
      <c r="AA132" t="s">
        <v>235</v>
      </c>
      <c r="AB132" t="s">
        <v>161</v>
      </c>
      <c r="AC132" t="s">
        <v>179</v>
      </c>
      <c r="AD132" t="s">
        <v>546</v>
      </c>
      <c r="AE132" t="s">
        <v>79</v>
      </c>
      <c r="AF132" t="s">
        <v>75</v>
      </c>
      <c r="AH132" t="s">
        <v>75</v>
      </c>
      <c r="AI132" t="s">
        <v>76</v>
      </c>
      <c r="AK132" t="s">
        <v>115</v>
      </c>
      <c r="AL132" t="s">
        <v>115</v>
      </c>
      <c r="AM132" t="s">
        <v>116</v>
      </c>
      <c r="AN132">
        <v>43</v>
      </c>
      <c r="AO132">
        <v>43</v>
      </c>
      <c r="AP132">
        <v>43</v>
      </c>
      <c r="AQ132" t="s">
        <v>84</v>
      </c>
      <c r="AR132" t="s">
        <v>84</v>
      </c>
      <c r="AS132" t="s">
        <v>164</v>
      </c>
      <c r="AT132" t="s">
        <v>75</v>
      </c>
      <c r="AU132" t="s">
        <v>76</v>
      </c>
      <c r="AV132">
        <v>0.70640000000000003</v>
      </c>
      <c r="AW132">
        <v>0.77249999999999996</v>
      </c>
      <c r="AX132">
        <v>0.73909999999999998</v>
      </c>
      <c r="AY132">
        <v>0.70640000000000003</v>
      </c>
      <c r="AZ132">
        <v>0.77249999999999996</v>
      </c>
      <c r="BA132">
        <v>0.73909999999999998</v>
      </c>
      <c r="BB132" t="s">
        <v>86</v>
      </c>
      <c r="BC132">
        <v>0.77249999999999996</v>
      </c>
      <c r="BD132">
        <v>0.70640000000000003</v>
      </c>
      <c r="BE132">
        <v>0</v>
      </c>
      <c r="BF132">
        <v>6.88E-2</v>
      </c>
      <c r="BG132">
        <v>7.4800000000000005E-2</v>
      </c>
      <c r="BH132">
        <v>7.8600000000000003E-2</v>
      </c>
      <c r="BI132">
        <v>7.4844069999999999E-2</v>
      </c>
      <c r="BJ132">
        <v>6.88E-2</v>
      </c>
      <c r="BK132" t="s">
        <v>75</v>
      </c>
      <c r="BL132" t="s">
        <v>531</v>
      </c>
    </row>
    <row r="133" spans="1:64" x14ac:dyDescent="0.55000000000000004">
      <c r="A133" t="s">
        <v>519</v>
      </c>
      <c r="B133">
        <v>67</v>
      </c>
      <c r="C133">
        <v>3</v>
      </c>
      <c r="D133">
        <v>1</v>
      </c>
      <c r="E133">
        <v>1</v>
      </c>
      <c r="F133">
        <v>67.3</v>
      </c>
      <c r="G133" t="s">
        <v>532</v>
      </c>
      <c r="H133" t="s">
        <v>521</v>
      </c>
      <c r="I133" t="s">
        <v>522</v>
      </c>
      <c r="J133">
        <v>2022</v>
      </c>
      <c r="K133" t="s">
        <v>272</v>
      </c>
      <c r="M133" t="s">
        <v>217</v>
      </c>
      <c r="N133" t="s">
        <v>100</v>
      </c>
      <c r="P133" t="s">
        <v>551</v>
      </c>
      <c r="Q133" t="s">
        <v>110</v>
      </c>
      <c r="R133" t="s">
        <v>75</v>
      </c>
      <c r="S133" t="s">
        <v>75</v>
      </c>
      <c r="T133" t="s">
        <v>75</v>
      </c>
      <c r="U133" t="s">
        <v>75</v>
      </c>
      <c r="V133" t="s">
        <v>76</v>
      </c>
      <c r="W133" t="s">
        <v>75</v>
      </c>
      <c r="X133" t="s">
        <v>135</v>
      </c>
      <c r="Y133" t="s">
        <v>135</v>
      </c>
      <c r="Z133" t="s">
        <v>77</v>
      </c>
      <c r="AA133" t="s">
        <v>235</v>
      </c>
      <c r="AB133" t="s">
        <v>110</v>
      </c>
      <c r="AC133" t="s">
        <v>179</v>
      </c>
      <c r="AD133" t="s">
        <v>546</v>
      </c>
      <c r="AE133" t="s">
        <v>79</v>
      </c>
      <c r="AF133" t="s">
        <v>75</v>
      </c>
      <c r="AH133" t="s">
        <v>75</v>
      </c>
      <c r="AI133" t="s">
        <v>76</v>
      </c>
      <c r="AK133" t="s">
        <v>115</v>
      </c>
      <c r="AL133" t="s">
        <v>115</v>
      </c>
      <c r="AM133" t="s">
        <v>116</v>
      </c>
      <c r="AN133">
        <v>147</v>
      </c>
      <c r="AO133">
        <v>147</v>
      </c>
      <c r="AP133">
        <v>147</v>
      </c>
      <c r="AQ133" t="s">
        <v>84</v>
      </c>
      <c r="AR133" t="s">
        <v>84</v>
      </c>
      <c r="AS133" t="s">
        <v>164</v>
      </c>
      <c r="AT133" t="s">
        <v>75</v>
      </c>
      <c r="AU133" t="s">
        <v>76</v>
      </c>
      <c r="AV133">
        <v>0.68589999999999995</v>
      </c>
      <c r="AW133">
        <v>0.78290000000000004</v>
      </c>
      <c r="AX133">
        <v>0.73799999999999999</v>
      </c>
      <c r="AY133">
        <v>0.68589999999999995</v>
      </c>
      <c r="AZ133">
        <v>0.78290000000000004</v>
      </c>
      <c r="BA133">
        <v>0.73799999999999999</v>
      </c>
      <c r="BB133" t="s">
        <v>86</v>
      </c>
      <c r="BC133">
        <v>0.78290000000000004</v>
      </c>
      <c r="BD133">
        <v>0.68589999999999995</v>
      </c>
      <c r="BE133">
        <v>0</v>
      </c>
      <c r="BF133">
        <v>0.1119</v>
      </c>
      <c r="BG133">
        <v>9.2999999999999999E-2</v>
      </c>
      <c r="BH133">
        <v>9.3200000000000005E-2</v>
      </c>
      <c r="BI133">
        <v>9.3023220000000004E-2</v>
      </c>
      <c r="BJ133">
        <v>0.1119</v>
      </c>
      <c r="BK133" t="s">
        <v>75</v>
      </c>
      <c r="BL133" t="s">
        <v>533</v>
      </c>
    </row>
    <row r="134" spans="1:64" x14ac:dyDescent="0.55000000000000004">
      <c r="A134" t="s">
        <v>552</v>
      </c>
      <c r="B134">
        <v>2</v>
      </c>
      <c r="C134">
        <v>1</v>
      </c>
      <c r="D134">
        <v>1</v>
      </c>
      <c r="E134">
        <v>1</v>
      </c>
      <c r="F134">
        <v>2.1</v>
      </c>
      <c r="G134" t="s">
        <v>553</v>
      </c>
      <c r="H134" t="s">
        <v>554</v>
      </c>
      <c r="I134" t="s">
        <v>555</v>
      </c>
      <c r="J134">
        <v>2022</v>
      </c>
      <c r="K134" t="s">
        <v>556</v>
      </c>
      <c r="L134" t="s">
        <v>557</v>
      </c>
      <c r="M134" t="s">
        <v>99</v>
      </c>
      <c r="N134" t="s">
        <v>100</v>
      </c>
      <c r="O134" t="s">
        <v>558</v>
      </c>
      <c r="P134" t="s">
        <v>482</v>
      </c>
      <c r="Q134" t="s">
        <v>482</v>
      </c>
      <c r="R134" t="s">
        <v>75</v>
      </c>
      <c r="S134" t="s">
        <v>75</v>
      </c>
      <c r="T134" t="s">
        <v>75</v>
      </c>
      <c r="U134" t="s">
        <v>75</v>
      </c>
      <c r="V134" t="s">
        <v>75</v>
      </c>
      <c r="W134" t="s">
        <v>76</v>
      </c>
      <c r="X134" t="s">
        <v>111</v>
      </c>
      <c r="Y134" t="s">
        <v>111</v>
      </c>
      <c r="Z134" t="s">
        <v>77</v>
      </c>
      <c r="AA134" t="s">
        <v>112</v>
      </c>
      <c r="AB134" t="s">
        <v>482</v>
      </c>
      <c r="AC134" t="s">
        <v>113</v>
      </c>
      <c r="AD134" t="s">
        <v>112</v>
      </c>
      <c r="AE134" t="s">
        <v>79</v>
      </c>
      <c r="AF134" t="s">
        <v>75</v>
      </c>
      <c r="AG134" t="s">
        <v>559</v>
      </c>
      <c r="AH134" t="s">
        <v>76</v>
      </c>
      <c r="AI134" t="s">
        <v>75</v>
      </c>
      <c r="AJ134" t="s">
        <v>134</v>
      </c>
      <c r="AK134" t="s">
        <v>115</v>
      </c>
      <c r="AL134" t="s">
        <v>115</v>
      </c>
      <c r="AM134" t="s">
        <v>116</v>
      </c>
      <c r="AN134">
        <v>21</v>
      </c>
      <c r="AO134">
        <v>10</v>
      </c>
      <c r="AP134">
        <v>10</v>
      </c>
      <c r="AQ134" t="s">
        <v>560</v>
      </c>
      <c r="AR134" t="s">
        <v>472</v>
      </c>
      <c r="AS134" t="s">
        <v>561</v>
      </c>
      <c r="AT134" t="s">
        <v>76</v>
      </c>
      <c r="AU134" t="s">
        <v>75</v>
      </c>
      <c r="AV134">
        <v>0.8075</v>
      </c>
      <c r="AW134">
        <v>0.79169999999999996</v>
      </c>
      <c r="AX134">
        <v>0.82040000000000002</v>
      </c>
      <c r="AY134">
        <v>0.8075</v>
      </c>
      <c r="AZ134">
        <v>0.79169999999999996</v>
      </c>
      <c r="BA134">
        <v>0.82040000000000002</v>
      </c>
      <c r="BB134" t="s">
        <v>79</v>
      </c>
      <c r="BC134">
        <v>0.8075</v>
      </c>
      <c r="BD134">
        <v>0.79169999999999996</v>
      </c>
      <c r="BE134">
        <v>1</v>
      </c>
      <c r="BF134">
        <v>3.8199999999999998E-2</v>
      </c>
      <c r="BG134">
        <v>0</v>
      </c>
      <c r="BH134">
        <v>2.7799999999999998E-2</v>
      </c>
      <c r="BI134">
        <v>3.8247879999999998E-2</v>
      </c>
      <c r="BJ134">
        <v>0</v>
      </c>
      <c r="BK134" t="s">
        <v>75</v>
      </c>
    </row>
    <row r="135" spans="1:64" x14ac:dyDescent="0.55000000000000004">
      <c r="A135" t="s">
        <v>552</v>
      </c>
      <c r="B135">
        <v>2</v>
      </c>
      <c r="C135">
        <v>1</v>
      </c>
      <c r="D135">
        <v>2</v>
      </c>
      <c r="E135">
        <v>1</v>
      </c>
      <c r="F135">
        <v>2.1</v>
      </c>
      <c r="G135" t="s">
        <v>562</v>
      </c>
      <c r="H135" t="s">
        <v>554</v>
      </c>
      <c r="I135" t="s">
        <v>555</v>
      </c>
      <c r="J135">
        <v>2022</v>
      </c>
      <c r="K135" t="s">
        <v>556</v>
      </c>
      <c r="L135" t="s">
        <v>557</v>
      </c>
      <c r="M135" t="s">
        <v>99</v>
      </c>
      <c r="N135" t="s">
        <v>100</v>
      </c>
      <c r="O135" t="s">
        <v>558</v>
      </c>
      <c r="P135" t="s">
        <v>482</v>
      </c>
      <c r="Q135" t="s">
        <v>482</v>
      </c>
      <c r="R135" t="s">
        <v>75</v>
      </c>
      <c r="S135" t="s">
        <v>75</v>
      </c>
      <c r="T135" t="s">
        <v>75</v>
      </c>
      <c r="U135" t="s">
        <v>75</v>
      </c>
      <c r="V135" t="s">
        <v>75</v>
      </c>
      <c r="W135" t="s">
        <v>76</v>
      </c>
      <c r="X135" t="s">
        <v>111</v>
      </c>
      <c r="Y135" t="s">
        <v>111</v>
      </c>
      <c r="Z135" t="s">
        <v>77</v>
      </c>
      <c r="AA135" t="s">
        <v>112</v>
      </c>
      <c r="AB135" t="s">
        <v>482</v>
      </c>
      <c r="AC135" t="s">
        <v>113</v>
      </c>
      <c r="AD135" t="s">
        <v>112</v>
      </c>
      <c r="AE135" t="s">
        <v>79</v>
      </c>
      <c r="AF135" t="s">
        <v>75</v>
      </c>
      <c r="AG135" t="s">
        <v>563</v>
      </c>
      <c r="AH135" t="s">
        <v>76</v>
      </c>
      <c r="AI135" t="s">
        <v>75</v>
      </c>
      <c r="AJ135" t="s">
        <v>134</v>
      </c>
      <c r="AK135" t="s">
        <v>115</v>
      </c>
      <c r="AL135" t="s">
        <v>115</v>
      </c>
      <c r="AM135" t="s">
        <v>116</v>
      </c>
      <c r="AN135">
        <v>21</v>
      </c>
      <c r="AO135">
        <v>11</v>
      </c>
      <c r="AP135">
        <v>11</v>
      </c>
      <c r="AQ135" t="s">
        <v>564</v>
      </c>
      <c r="AR135" t="s">
        <v>565</v>
      </c>
      <c r="AS135" t="s">
        <v>561</v>
      </c>
      <c r="AT135" t="s">
        <v>76</v>
      </c>
      <c r="AU135" t="s">
        <v>75</v>
      </c>
      <c r="AV135">
        <v>0.8075</v>
      </c>
      <c r="AW135">
        <v>0.79169999999999996</v>
      </c>
      <c r="AX135">
        <v>0.78610000000000002</v>
      </c>
      <c r="AY135">
        <v>0.8075</v>
      </c>
      <c r="AZ135">
        <v>0.79169999999999996</v>
      </c>
      <c r="BA135">
        <v>0.78610000000000002</v>
      </c>
      <c r="BB135" t="s">
        <v>79</v>
      </c>
      <c r="BC135">
        <v>0.8075</v>
      </c>
      <c r="BD135">
        <v>0.79169999999999996</v>
      </c>
      <c r="BE135">
        <v>0</v>
      </c>
      <c r="BF135">
        <v>4.0399999999999998E-2</v>
      </c>
      <c r="BG135">
        <v>0</v>
      </c>
      <c r="BH135">
        <v>3.2199999999999999E-2</v>
      </c>
      <c r="BI135">
        <v>4.0444279999999999E-2</v>
      </c>
      <c r="BJ135">
        <v>0</v>
      </c>
      <c r="BK135" t="s">
        <v>75</v>
      </c>
    </row>
    <row r="136" spans="1:64" x14ac:dyDescent="0.55000000000000004">
      <c r="A136" t="s">
        <v>566</v>
      </c>
      <c r="B136">
        <v>11</v>
      </c>
      <c r="C136">
        <v>1</v>
      </c>
      <c r="D136">
        <v>1</v>
      </c>
      <c r="E136">
        <v>1</v>
      </c>
      <c r="F136">
        <v>11.1</v>
      </c>
      <c r="G136" t="s">
        <v>567</v>
      </c>
      <c r="H136" t="s">
        <v>568</v>
      </c>
      <c r="I136" t="s">
        <v>569</v>
      </c>
      <c r="J136">
        <v>2023</v>
      </c>
      <c r="K136" t="s">
        <v>556</v>
      </c>
      <c r="L136" t="s">
        <v>159</v>
      </c>
      <c r="M136" t="s">
        <v>71</v>
      </c>
      <c r="N136" t="s">
        <v>72</v>
      </c>
      <c r="O136" t="s">
        <v>570</v>
      </c>
      <c r="P136" t="s">
        <v>110</v>
      </c>
      <c r="Q136" t="s">
        <v>110</v>
      </c>
      <c r="R136" t="s">
        <v>75</v>
      </c>
      <c r="S136" t="s">
        <v>75</v>
      </c>
      <c r="T136" t="s">
        <v>75</v>
      </c>
      <c r="U136" t="s">
        <v>75</v>
      </c>
      <c r="V136" t="s">
        <v>76</v>
      </c>
      <c r="W136" t="s">
        <v>75</v>
      </c>
      <c r="X136" t="s">
        <v>111</v>
      </c>
      <c r="Y136" t="s">
        <v>111</v>
      </c>
      <c r="Z136" t="s">
        <v>77</v>
      </c>
      <c r="AA136" t="s">
        <v>235</v>
      </c>
      <c r="AB136" t="s">
        <v>110</v>
      </c>
      <c r="AC136" t="s">
        <v>113</v>
      </c>
      <c r="AD136" t="s">
        <v>235</v>
      </c>
      <c r="AE136" t="s">
        <v>79</v>
      </c>
      <c r="AF136" t="s">
        <v>75</v>
      </c>
      <c r="AG136" t="s">
        <v>403</v>
      </c>
      <c r="AH136" t="s">
        <v>76</v>
      </c>
      <c r="AI136" t="s">
        <v>75</v>
      </c>
      <c r="AJ136" t="s">
        <v>134</v>
      </c>
      <c r="AK136" t="s">
        <v>115</v>
      </c>
      <c r="AL136" t="s">
        <v>115</v>
      </c>
      <c r="AM136" t="s">
        <v>116</v>
      </c>
      <c r="AN136">
        <v>249</v>
      </c>
      <c r="AO136">
        <v>63</v>
      </c>
      <c r="AP136">
        <v>62</v>
      </c>
      <c r="AQ136" t="s">
        <v>84</v>
      </c>
      <c r="AR136" t="s">
        <v>84</v>
      </c>
      <c r="AS136" t="s">
        <v>164</v>
      </c>
      <c r="AT136" t="s">
        <v>75</v>
      </c>
      <c r="AU136" t="s">
        <v>76</v>
      </c>
      <c r="AV136">
        <v>0.39200000000000002</v>
      </c>
      <c r="AW136">
        <v>0.66669999999999996</v>
      </c>
      <c r="AX136">
        <v>0.56200000000000006</v>
      </c>
      <c r="AY136">
        <v>0.39200000000000002</v>
      </c>
      <c r="AZ136">
        <v>0.66669999999999996</v>
      </c>
      <c r="BA136">
        <v>0.56200000000000006</v>
      </c>
      <c r="BB136" t="s">
        <v>86</v>
      </c>
      <c r="BC136">
        <v>0.66669999999999996</v>
      </c>
      <c r="BD136">
        <v>0.39200000000000002</v>
      </c>
      <c r="BE136">
        <v>0</v>
      </c>
      <c r="BF136">
        <v>0.20300000000000001</v>
      </c>
      <c r="BG136">
        <v>0</v>
      </c>
      <c r="BH136">
        <v>0.17299999999999999</v>
      </c>
      <c r="BI136">
        <v>0</v>
      </c>
      <c r="BJ136">
        <v>0.20300000000000001</v>
      </c>
      <c r="BK136" t="s">
        <v>75</v>
      </c>
      <c r="BL136" t="s">
        <v>571</v>
      </c>
    </row>
    <row r="137" spans="1:64" x14ac:dyDescent="0.55000000000000004">
      <c r="A137" t="s">
        <v>566</v>
      </c>
      <c r="B137">
        <v>11</v>
      </c>
      <c r="C137">
        <v>1</v>
      </c>
      <c r="D137">
        <v>2</v>
      </c>
      <c r="E137">
        <v>1</v>
      </c>
      <c r="F137">
        <v>11.1</v>
      </c>
      <c r="G137" t="s">
        <v>572</v>
      </c>
      <c r="H137" t="s">
        <v>568</v>
      </c>
      <c r="I137" t="s">
        <v>569</v>
      </c>
      <c r="J137">
        <v>2023</v>
      </c>
      <c r="K137" t="s">
        <v>556</v>
      </c>
      <c r="L137" t="s">
        <v>159</v>
      </c>
      <c r="M137" t="s">
        <v>71</v>
      </c>
      <c r="N137" t="s">
        <v>72</v>
      </c>
      <c r="O137" t="s">
        <v>570</v>
      </c>
      <c r="P137" t="s">
        <v>110</v>
      </c>
      <c r="Q137" t="s">
        <v>110</v>
      </c>
      <c r="R137" t="s">
        <v>75</v>
      </c>
      <c r="S137" t="s">
        <v>75</v>
      </c>
      <c r="T137" t="s">
        <v>75</v>
      </c>
      <c r="U137" t="s">
        <v>75</v>
      </c>
      <c r="V137" t="s">
        <v>76</v>
      </c>
      <c r="W137" t="s">
        <v>75</v>
      </c>
      <c r="X137" t="s">
        <v>111</v>
      </c>
      <c r="Y137" t="s">
        <v>111</v>
      </c>
      <c r="Z137" t="s">
        <v>77</v>
      </c>
      <c r="AA137" t="s">
        <v>235</v>
      </c>
      <c r="AB137" t="s">
        <v>110</v>
      </c>
      <c r="AC137" t="s">
        <v>113</v>
      </c>
      <c r="AD137" t="s">
        <v>235</v>
      </c>
      <c r="AE137" t="s">
        <v>79</v>
      </c>
      <c r="AF137" t="s">
        <v>75</v>
      </c>
      <c r="AG137" t="s">
        <v>405</v>
      </c>
      <c r="AH137" t="s">
        <v>76</v>
      </c>
      <c r="AI137" t="s">
        <v>75</v>
      </c>
      <c r="AJ137" t="s">
        <v>134</v>
      </c>
      <c r="AK137" t="s">
        <v>115</v>
      </c>
      <c r="AL137" t="s">
        <v>115</v>
      </c>
      <c r="AM137" t="s">
        <v>116</v>
      </c>
      <c r="AN137">
        <v>249</v>
      </c>
      <c r="AO137">
        <v>62</v>
      </c>
      <c r="AP137">
        <v>62</v>
      </c>
      <c r="AQ137" t="s">
        <v>84</v>
      </c>
      <c r="AR137" t="s">
        <v>84</v>
      </c>
      <c r="AS137" t="s">
        <v>164</v>
      </c>
      <c r="AT137" t="s">
        <v>75</v>
      </c>
      <c r="AU137" t="s">
        <v>76</v>
      </c>
      <c r="AV137">
        <v>0.38700000000000001</v>
      </c>
      <c r="AW137">
        <v>0.66669999999999996</v>
      </c>
      <c r="AX137">
        <v>0.52700000000000002</v>
      </c>
      <c r="AY137">
        <v>0.38700000000000001</v>
      </c>
      <c r="AZ137">
        <v>0.66669999999999996</v>
      </c>
      <c r="BA137">
        <v>0.52700000000000002</v>
      </c>
      <c r="BB137" t="s">
        <v>86</v>
      </c>
      <c r="BC137">
        <v>0.66669999999999996</v>
      </c>
      <c r="BD137">
        <v>0.38700000000000001</v>
      </c>
      <c r="BE137">
        <v>0</v>
      </c>
      <c r="BF137">
        <v>0.23300000000000001</v>
      </c>
      <c r="BG137">
        <v>0</v>
      </c>
      <c r="BH137">
        <v>0.19</v>
      </c>
      <c r="BI137">
        <v>0</v>
      </c>
      <c r="BJ137">
        <v>0.23300000000000001</v>
      </c>
      <c r="BK137" t="s">
        <v>75</v>
      </c>
      <c r="BL137" t="s">
        <v>573</v>
      </c>
    </row>
    <row r="138" spans="1:64" x14ac:dyDescent="0.55000000000000004">
      <c r="A138" t="s">
        <v>574</v>
      </c>
      <c r="B138">
        <v>22</v>
      </c>
      <c r="C138">
        <v>1</v>
      </c>
      <c r="D138">
        <v>1</v>
      </c>
      <c r="E138">
        <v>1</v>
      </c>
      <c r="F138">
        <v>22.1</v>
      </c>
      <c r="G138" t="s">
        <v>575</v>
      </c>
      <c r="H138" t="s">
        <v>576</v>
      </c>
      <c r="I138" t="s">
        <v>577</v>
      </c>
      <c r="J138">
        <v>2021</v>
      </c>
      <c r="K138" t="s">
        <v>556</v>
      </c>
      <c r="L138" t="s">
        <v>578</v>
      </c>
      <c r="M138" t="s">
        <v>217</v>
      </c>
      <c r="N138" t="s">
        <v>100</v>
      </c>
      <c r="O138" t="s">
        <v>579</v>
      </c>
      <c r="P138" t="s">
        <v>134</v>
      </c>
      <c r="Q138" t="s">
        <v>134</v>
      </c>
      <c r="R138" t="s">
        <v>75</v>
      </c>
      <c r="S138" t="s">
        <v>75</v>
      </c>
      <c r="T138" t="s">
        <v>76</v>
      </c>
      <c r="U138" t="s">
        <v>75</v>
      </c>
      <c r="V138" t="s">
        <v>75</v>
      </c>
      <c r="W138" t="s">
        <v>75</v>
      </c>
      <c r="X138" t="s">
        <v>111</v>
      </c>
      <c r="Y138" t="s">
        <v>111</v>
      </c>
      <c r="Z138" t="s">
        <v>77</v>
      </c>
      <c r="AA138" t="s">
        <v>112</v>
      </c>
      <c r="AB138" t="s">
        <v>134</v>
      </c>
      <c r="AC138" t="s">
        <v>134</v>
      </c>
      <c r="AD138" t="s">
        <v>112</v>
      </c>
      <c r="AE138" t="s">
        <v>79</v>
      </c>
      <c r="AF138" t="s">
        <v>75</v>
      </c>
      <c r="AH138" t="s">
        <v>76</v>
      </c>
      <c r="AI138" t="s">
        <v>75</v>
      </c>
      <c r="AJ138" t="s">
        <v>91</v>
      </c>
      <c r="AK138" t="s">
        <v>580</v>
      </c>
      <c r="AL138" t="s">
        <v>115</v>
      </c>
      <c r="AM138" t="s">
        <v>116</v>
      </c>
      <c r="AN138">
        <v>14</v>
      </c>
      <c r="AO138">
        <v>14</v>
      </c>
      <c r="AP138">
        <v>14</v>
      </c>
      <c r="AQ138" t="s">
        <v>581</v>
      </c>
      <c r="AR138" t="s">
        <v>472</v>
      </c>
      <c r="AS138" t="s">
        <v>471</v>
      </c>
      <c r="AT138" t="s">
        <v>76</v>
      </c>
      <c r="AU138" t="s">
        <v>75</v>
      </c>
      <c r="AV138">
        <v>0.77700000000000002</v>
      </c>
      <c r="AW138">
        <v>0.85399999999999998</v>
      </c>
      <c r="AX138">
        <v>0.85199999999999998</v>
      </c>
      <c r="AY138">
        <v>0.77700000000000002</v>
      </c>
      <c r="AZ138">
        <v>0.85399999999999998</v>
      </c>
      <c r="BA138">
        <v>0.85199999999999998</v>
      </c>
      <c r="BB138" t="s">
        <v>86</v>
      </c>
      <c r="BC138">
        <v>0.85399999999999998</v>
      </c>
      <c r="BD138">
        <v>0.77700000000000002</v>
      </c>
      <c r="BE138">
        <v>0</v>
      </c>
      <c r="BF138">
        <v>0.11</v>
      </c>
      <c r="BG138">
        <v>0</v>
      </c>
      <c r="BH138">
        <v>4.9000000000000002E-2</v>
      </c>
      <c r="BI138">
        <v>0</v>
      </c>
      <c r="BJ138">
        <v>0.11</v>
      </c>
      <c r="BK138" t="s">
        <v>75</v>
      </c>
      <c r="BL138" t="s">
        <v>582</v>
      </c>
    </row>
    <row r="139" spans="1:64" x14ac:dyDescent="0.55000000000000004">
      <c r="A139" t="s">
        <v>583</v>
      </c>
      <c r="B139">
        <v>25</v>
      </c>
      <c r="C139">
        <v>1</v>
      </c>
      <c r="D139">
        <v>1</v>
      </c>
      <c r="E139">
        <v>1</v>
      </c>
      <c r="F139">
        <v>25.1</v>
      </c>
      <c r="G139" t="s">
        <v>584</v>
      </c>
      <c r="H139" t="s">
        <v>585</v>
      </c>
      <c r="I139" t="s">
        <v>586</v>
      </c>
      <c r="J139">
        <v>2023</v>
      </c>
      <c r="K139" t="s">
        <v>556</v>
      </c>
      <c r="L139" t="s">
        <v>159</v>
      </c>
      <c r="M139" t="s">
        <v>217</v>
      </c>
      <c r="N139" t="s">
        <v>100</v>
      </c>
      <c r="O139" t="s">
        <v>587</v>
      </c>
      <c r="P139" t="s">
        <v>134</v>
      </c>
      <c r="Q139" t="s">
        <v>134</v>
      </c>
      <c r="R139" t="s">
        <v>75</v>
      </c>
      <c r="S139" t="s">
        <v>75</v>
      </c>
      <c r="T139" t="s">
        <v>76</v>
      </c>
      <c r="U139" t="s">
        <v>75</v>
      </c>
      <c r="V139" t="s">
        <v>75</v>
      </c>
      <c r="W139" t="s">
        <v>75</v>
      </c>
      <c r="X139" t="s">
        <v>135</v>
      </c>
      <c r="Y139" t="s">
        <v>135</v>
      </c>
      <c r="Z139" t="s">
        <v>77</v>
      </c>
      <c r="AA139" t="s">
        <v>112</v>
      </c>
      <c r="AB139" t="s">
        <v>134</v>
      </c>
      <c r="AC139" t="s">
        <v>112</v>
      </c>
      <c r="AD139" t="s">
        <v>112</v>
      </c>
      <c r="AE139" t="s">
        <v>79</v>
      </c>
      <c r="AF139" t="s">
        <v>75</v>
      </c>
      <c r="AG139" t="s">
        <v>588</v>
      </c>
      <c r="AH139" t="s">
        <v>76</v>
      </c>
      <c r="AI139" t="s">
        <v>76</v>
      </c>
      <c r="AJ139" t="s">
        <v>91</v>
      </c>
      <c r="AK139" t="s">
        <v>398</v>
      </c>
      <c r="AL139" t="s">
        <v>115</v>
      </c>
      <c r="AM139" t="s">
        <v>116</v>
      </c>
      <c r="AN139">
        <v>15</v>
      </c>
      <c r="AO139">
        <v>15</v>
      </c>
      <c r="AP139">
        <v>15</v>
      </c>
      <c r="AQ139" t="s">
        <v>581</v>
      </c>
      <c r="AR139" t="s">
        <v>472</v>
      </c>
      <c r="AS139" t="s">
        <v>471</v>
      </c>
      <c r="AT139" t="s">
        <v>76</v>
      </c>
      <c r="AU139" t="s">
        <v>75</v>
      </c>
      <c r="AV139">
        <v>0.4</v>
      </c>
      <c r="AW139">
        <v>0.64</v>
      </c>
      <c r="AX139">
        <v>0.78</v>
      </c>
      <c r="AY139">
        <v>0.4</v>
      </c>
      <c r="AZ139">
        <v>0.64</v>
      </c>
      <c r="BA139">
        <v>0.78</v>
      </c>
      <c r="BB139" t="s">
        <v>86</v>
      </c>
      <c r="BC139">
        <v>0.64</v>
      </c>
      <c r="BD139">
        <v>0.4</v>
      </c>
      <c r="BE139">
        <v>1</v>
      </c>
      <c r="BF139">
        <v>0.22</v>
      </c>
      <c r="BG139">
        <v>0.31</v>
      </c>
      <c r="BH139">
        <v>0.17</v>
      </c>
      <c r="BI139">
        <v>0.31</v>
      </c>
      <c r="BJ139">
        <v>0.22</v>
      </c>
      <c r="BK139" t="s">
        <v>75</v>
      </c>
      <c r="BL139" t="s">
        <v>589</v>
      </c>
    </row>
    <row r="140" spans="1:64" x14ac:dyDescent="0.55000000000000004">
      <c r="A140" t="s">
        <v>583</v>
      </c>
      <c r="B140">
        <v>25</v>
      </c>
      <c r="C140">
        <v>1</v>
      </c>
      <c r="D140">
        <v>1</v>
      </c>
      <c r="E140">
        <v>2</v>
      </c>
      <c r="F140">
        <v>25.1</v>
      </c>
      <c r="G140" t="s">
        <v>590</v>
      </c>
      <c r="H140" t="s">
        <v>585</v>
      </c>
      <c r="I140" t="s">
        <v>586</v>
      </c>
      <c r="J140">
        <v>2023</v>
      </c>
      <c r="K140" t="s">
        <v>556</v>
      </c>
      <c r="L140" t="s">
        <v>159</v>
      </c>
      <c r="M140" t="s">
        <v>217</v>
      </c>
      <c r="N140" t="s">
        <v>100</v>
      </c>
      <c r="O140" t="s">
        <v>587</v>
      </c>
      <c r="P140" t="s">
        <v>134</v>
      </c>
      <c r="Q140" t="s">
        <v>134</v>
      </c>
      <c r="R140" t="s">
        <v>75</v>
      </c>
      <c r="S140" t="s">
        <v>75</v>
      </c>
      <c r="T140" t="s">
        <v>76</v>
      </c>
      <c r="U140" t="s">
        <v>75</v>
      </c>
      <c r="V140" t="s">
        <v>75</v>
      </c>
      <c r="W140" t="s">
        <v>75</v>
      </c>
      <c r="X140" t="s">
        <v>135</v>
      </c>
      <c r="Y140" t="s">
        <v>135</v>
      </c>
      <c r="Z140" t="s">
        <v>77</v>
      </c>
      <c r="AA140" t="s">
        <v>112</v>
      </c>
      <c r="AB140" t="s">
        <v>134</v>
      </c>
      <c r="AC140" t="s">
        <v>112</v>
      </c>
      <c r="AD140" t="s">
        <v>112</v>
      </c>
      <c r="AE140" t="s">
        <v>79</v>
      </c>
      <c r="AF140" t="s">
        <v>75</v>
      </c>
      <c r="AG140" t="s">
        <v>588</v>
      </c>
      <c r="AH140" t="s">
        <v>76</v>
      </c>
      <c r="AI140" t="s">
        <v>76</v>
      </c>
      <c r="AJ140" t="s">
        <v>91</v>
      </c>
      <c r="AK140" t="s">
        <v>591</v>
      </c>
      <c r="AL140" t="s">
        <v>115</v>
      </c>
      <c r="AM140" t="s">
        <v>116</v>
      </c>
      <c r="AN140">
        <v>15</v>
      </c>
      <c r="AO140">
        <v>15</v>
      </c>
      <c r="AP140">
        <v>15</v>
      </c>
      <c r="AQ140" t="s">
        <v>581</v>
      </c>
      <c r="AR140" t="s">
        <v>472</v>
      </c>
      <c r="AS140" t="s">
        <v>471</v>
      </c>
      <c r="AT140" t="s">
        <v>76</v>
      </c>
      <c r="AU140" t="s">
        <v>75</v>
      </c>
      <c r="AV140">
        <v>0.18</v>
      </c>
      <c r="AW140">
        <v>0.51</v>
      </c>
      <c r="AX140">
        <v>0.61</v>
      </c>
      <c r="AY140">
        <v>0.18</v>
      </c>
      <c r="AZ140">
        <v>0.51</v>
      </c>
      <c r="BA140">
        <v>0.61</v>
      </c>
      <c r="BB140" t="s">
        <v>86</v>
      </c>
      <c r="BC140">
        <v>0.51</v>
      </c>
      <c r="BD140">
        <v>0.18</v>
      </c>
      <c r="BE140">
        <v>1</v>
      </c>
      <c r="BF140">
        <v>0.19</v>
      </c>
      <c r="BG140">
        <v>0.28000000000000003</v>
      </c>
      <c r="BH140">
        <v>0.24</v>
      </c>
      <c r="BI140">
        <v>0.28000000000000003</v>
      </c>
      <c r="BJ140">
        <v>0.19</v>
      </c>
      <c r="BK140" t="s">
        <v>75</v>
      </c>
      <c r="BL140" t="s">
        <v>592</v>
      </c>
    </row>
    <row r="141" spans="1:64" x14ac:dyDescent="0.55000000000000004">
      <c r="A141" t="s">
        <v>593</v>
      </c>
      <c r="B141">
        <v>26</v>
      </c>
      <c r="C141">
        <v>1</v>
      </c>
      <c r="D141">
        <v>1</v>
      </c>
      <c r="E141">
        <v>1</v>
      </c>
      <c r="F141">
        <v>26.1</v>
      </c>
      <c r="G141" t="s">
        <v>594</v>
      </c>
      <c r="H141" t="s">
        <v>595</v>
      </c>
      <c r="I141" t="s">
        <v>596</v>
      </c>
      <c r="J141">
        <v>2023</v>
      </c>
      <c r="K141" t="s">
        <v>556</v>
      </c>
      <c r="L141" t="s">
        <v>597</v>
      </c>
      <c r="M141" t="s">
        <v>217</v>
      </c>
      <c r="N141" t="s">
        <v>100</v>
      </c>
      <c r="O141" t="s">
        <v>598</v>
      </c>
      <c r="P141" t="s">
        <v>134</v>
      </c>
      <c r="Q141" t="s">
        <v>134</v>
      </c>
      <c r="R141" t="s">
        <v>75</v>
      </c>
      <c r="S141" t="s">
        <v>75</v>
      </c>
      <c r="T141" t="s">
        <v>76</v>
      </c>
      <c r="U141" t="s">
        <v>75</v>
      </c>
      <c r="V141" t="s">
        <v>75</v>
      </c>
      <c r="W141" t="s">
        <v>75</v>
      </c>
      <c r="X141" t="s">
        <v>111</v>
      </c>
      <c r="Y141" t="s">
        <v>111</v>
      </c>
      <c r="Z141" t="s">
        <v>77</v>
      </c>
      <c r="AA141" t="s">
        <v>112</v>
      </c>
      <c r="AB141" t="s">
        <v>134</v>
      </c>
      <c r="AC141" t="s">
        <v>113</v>
      </c>
      <c r="AD141" t="s">
        <v>112</v>
      </c>
      <c r="AE141" t="s">
        <v>79</v>
      </c>
      <c r="AF141" t="s">
        <v>75</v>
      </c>
      <c r="AG141" t="s">
        <v>599</v>
      </c>
      <c r="AH141" t="s">
        <v>76</v>
      </c>
      <c r="AI141" t="s">
        <v>76</v>
      </c>
      <c r="AJ141" t="s">
        <v>120</v>
      </c>
      <c r="AK141" t="s">
        <v>115</v>
      </c>
      <c r="AL141" t="s">
        <v>115</v>
      </c>
      <c r="AM141" t="s">
        <v>116</v>
      </c>
      <c r="AN141">
        <v>11</v>
      </c>
      <c r="AO141">
        <v>11</v>
      </c>
      <c r="AP141">
        <v>11</v>
      </c>
      <c r="AQ141" t="s">
        <v>600</v>
      </c>
      <c r="AR141" t="s">
        <v>472</v>
      </c>
      <c r="AS141" t="s">
        <v>471</v>
      </c>
      <c r="AT141" t="s">
        <v>76</v>
      </c>
      <c r="AU141" t="s">
        <v>75</v>
      </c>
      <c r="AV141">
        <v>0.5</v>
      </c>
      <c r="AW141">
        <v>0.84</v>
      </c>
      <c r="AX141">
        <v>0.74</v>
      </c>
      <c r="AY141">
        <v>0.5</v>
      </c>
      <c r="AZ141">
        <v>0.84</v>
      </c>
      <c r="BA141">
        <v>0.74</v>
      </c>
      <c r="BB141" t="s">
        <v>86</v>
      </c>
      <c r="BC141">
        <v>0.84</v>
      </c>
      <c r="BD141">
        <v>0.5</v>
      </c>
      <c r="BE141">
        <v>0</v>
      </c>
      <c r="BF141">
        <v>0.3</v>
      </c>
      <c r="BG141">
        <v>0</v>
      </c>
      <c r="BH141">
        <v>0.17</v>
      </c>
      <c r="BI141">
        <v>0</v>
      </c>
      <c r="BJ141">
        <v>0.3</v>
      </c>
      <c r="BK141" t="s">
        <v>75</v>
      </c>
      <c r="BL141" t="s">
        <v>601</v>
      </c>
    </row>
    <row r="142" spans="1:64" x14ac:dyDescent="0.55000000000000004">
      <c r="A142" t="s">
        <v>593</v>
      </c>
      <c r="B142">
        <v>26</v>
      </c>
      <c r="C142">
        <v>1</v>
      </c>
      <c r="D142">
        <v>1</v>
      </c>
      <c r="E142">
        <v>2</v>
      </c>
      <c r="F142">
        <v>26.1</v>
      </c>
      <c r="G142" t="s">
        <v>602</v>
      </c>
      <c r="H142" t="s">
        <v>595</v>
      </c>
      <c r="I142" t="s">
        <v>596</v>
      </c>
      <c r="J142">
        <v>2023</v>
      </c>
      <c r="K142" t="s">
        <v>556</v>
      </c>
      <c r="L142" t="s">
        <v>597</v>
      </c>
      <c r="M142" t="s">
        <v>217</v>
      </c>
      <c r="N142" t="s">
        <v>100</v>
      </c>
      <c r="O142" t="s">
        <v>598</v>
      </c>
      <c r="P142" t="s">
        <v>134</v>
      </c>
      <c r="Q142" t="s">
        <v>134</v>
      </c>
      <c r="R142" t="s">
        <v>75</v>
      </c>
      <c r="S142" t="s">
        <v>75</v>
      </c>
      <c r="T142" t="s">
        <v>76</v>
      </c>
      <c r="U142" t="s">
        <v>75</v>
      </c>
      <c r="V142" t="s">
        <v>75</v>
      </c>
      <c r="W142" t="s">
        <v>75</v>
      </c>
      <c r="X142" t="s">
        <v>111</v>
      </c>
      <c r="Y142" t="s">
        <v>111</v>
      </c>
      <c r="Z142" t="s">
        <v>77</v>
      </c>
      <c r="AA142" t="s">
        <v>112</v>
      </c>
      <c r="AB142" t="s">
        <v>134</v>
      </c>
      <c r="AC142" t="s">
        <v>113</v>
      </c>
      <c r="AD142" t="s">
        <v>112</v>
      </c>
      <c r="AE142" t="s">
        <v>79</v>
      </c>
      <c r="AF142" t="s">
        <v>75</v>
      </c>
      <c r="AG142" t="s">
        <v>599</v>
      </c>
      <c r="AH142" t="s">
        <v>76</v>
      </c>
      <c r="AI142" t="s">
        <v>76</v>
      </c>
      <c r="AJ142" t="s">
        <v>120</v>
      </c>
      <c r="AK142" t="s">
        <v>398</v>
      </c>
      <c r="AL142" t="s">
        <v>115</v>
      </c>
      <c r="AM142" t="s">
        <v>116</v>
      </c>
      <c r="AN142">
        <v>11</v>
      </c>
      <c r="AO142">
        <v>11</v>
      </c>
      <c r="AP142">
        <v>11</v>
      </c>
      <c r="AQ142" t="s">
        <v>600</v>
      </c>
      <c r="AR142" t="s">
        <v>472</v>
      </c>
      <c r="AS142" t="s">
        <v>471</v>
      </c>
      <c r="AT142" t="s">
        <v>76</v>
      </c>
      <c r="AU142" t="s">
        <v>75</v>
      </c>
      <c r="AV142">
        <v>0.46</v>
      </c>
      <c r="AW142">
        <v>0.59</v>
      </c>
      <c r="AX142">
        <v>0.62</v>
      </c>
      <c r="AY142">
        <v>0.46</v>
      </c>
      <c r="AZ142">
        <v>0.59</v>
      </c>
      <c r="BA142">
        <v>0.62</v>
      </c>
      <c r="BB142" t="s">
        <v>86</v>
      </c>
      <c r="BC142">
        <v>0.59</v>
      </c>
      <c r="BD142">
        <v>0.46</v>
      </c>
      <c r="BE142">
        <v>1</v>
      </c>
      <c r="BF142">
        <v>0.21</v>
      </c>
      <c r="BG142">
        <v>0</v>
      </c>
      <c r="BH142">
        <v>0.19</v>
      </c>
      <c r="BI142">
        <v>0</v>
      </c>
      <c r="BJ142">
        <v>0.21</v>
      </c>
      <c r="BK142" t="s">
        <v>75</v>
      </c>
      <c r="BL142" t="s">
        <v>603</v>
      </c>
    </row>
    <row r="143" spans="1:64" x14ac:dyDescent="0.55000000000000004">
      <c r="A143" t="s">
        <v>593</v>
      </c>
      <c r="B143">
        <v>26</v>
      </c>
      <c r="C143">
        <v>1</v>
      </c>
      <c r="D143">
        <v>1</v>
      </c>
      <c r="E143">
        <v>3</v>
      </c>
      <c r="F143">
        <v>26.1</v>
      </c>
      <c r="G143" t="s">
        <v>604</v>
      </c>
      <c r="H143" t="s">
        <v>595</v>
      </c>
      <c r="I143" t="s">
        <v>596</v>
      </c>
      <c r="J143">
        <v>2023</v>
      </c>
      <c r="K143" t="s">
        <v>556</v>
      </c>
      <c r="L143" t="s">
        <v>597</v>
      </c>
      <c r="M143" t="s">
        <v>217</v>
      </c>
      <c r="N143" t="s">
        <v>100</v>
      </c>
      <c r="O143" t="s">
        <v>598</v>
      </c>
      <c r="P143" t="s">
        <v>134</v>
      </c>
      <c r="Q143" t="s">
        <v>134</v>
      </c>
      <c r="R143" t="s">
        <v>75</v>
      </c>
      <c r="S143" t="s">
        <v>75</v>
      </c>
      <c r="T143" t="s">
        <v>76</v>
      </c>
      <c r="U143" t="s">
        <v>75</v>
      </c>
      <c r="V143" t="s">
        <v>75</v>
      </c>
      <c r="W143" t="s">
        <v>75</v>
      </c>
      <c r="X143" t="s">
        <v>111</v>
      </c>
      <c r="Y143" t="s">
        <v>111</v>
      </c>
      <c r="Z143" t="s">
        <v>77</v>
      </c>
      <c r="AA143" t="s">
        <v>112</v>
      </c>
      <c r="AB143" t="s">
        <v>134</v>
      </c>
      <c r="AC143" t="s">
        <v>113</v>
      </c>
      <c r="AD143" t="s">
        <v>112</v>
      </c>
      <c r="AE143" t="s">
        <v>79</v>
      </c>
      <c r="AF143" t="s">
        <v>75</v>
      </c>
      <c r="AG143" t="s">
        <v>599</v>
      </c>
      <c r="AH143" t="s">
        <v>76</v>
      </c>
      <c r="AI143" t="s">
        <v>76</v>
      </c>
      <c r="AJ143" t="s">
        <v>120</v>
      </c>
      <c r="AK143" t="s">
        <v>591</v>
      </c>
      <c r="AL143" t="s">
        <v>115</v>
      </c>
      <c r="AM143" t="s">
        <v>116</v>
      </c>
      <c r="AN143">
        <v>11</v>
      </c>
      <c r="AO143">
        <v>11</v>
      </c>
      <c r="AP143">
        <v>11</v>
      </c>
      <c r="AQ143" t="s">
        <v>600</v>
      </c>
      <c r="AR143" t="s">
        <v>472</v>
      </c>
      <c r="AS143" t="s">
        <v>471</v>
      </c>
      <c r="AT143" t="s">
        <v>76</v>
      </c>
      <c r="AU143" t="s">
        <v>75</v>
      </c>
      <c r="AV143">
        <v>0.85</v>
      </c>
      <c r="AW143">
        <v>0.51</v>
      </c>
      <c r="AX143">
        <v>0.94</v>
      </c>
      <c r="AY143">
        <v>0.85</v>
      </c>
      <c r="AZ143">
        <v>0.51</v>
      </c>
      <c r="BA143">
        <v>0.94</v>
      </c>
      <c r="BB143" t="s">
        <v>79</v>
      </c>
      <c r="BC143">
        <v>0.85</v>
      </c>
      <c r="BD143">
        <v>0.51</v>
      </c>
      <c r="BE143">
        <v>1</v>
      </c>
      <c r="BF143">
        <v>0.08</v>
      </c>
      <c r="BG143">
        <v>0</v>
      </c>
      <c r="BH143">
        <v>0.09</v>
      </c>
      <c r="BI143">
        <v>7.7280578000000003E-2</v>
      </c>
      <c r="BJ143">
        <v>0</v>
      </c>
      <c r="BK143" t="s">
        <v>75</v>
      </c>
      <c r="BL143" t="s">
        <v>605</v>
      </c>
    </row>
    <row r="144" spans="1:64" x14ac:dyDescent="0.55000000000000004">
      <c r="A144" t="s">
        <v>606</v>
      </c>
      <c r="B144">
        <v>28</v>
      </c>
      <c r="C144">
        <v>1</v>
      </c>
      <c r="D144">
        <v>1</v>
      </c>
      <c r="E144">
        <v>1</v>
      </c>
      <c r="F144">
        <v>28.1</v>
      </c>
      <c r="G144" t="s">
        <v>607</v>
      </c>
      <c r="H144" t="s">
        <v>608</v>
      </c>
      <c r="I144" t="s">
        <v>609</v>
      </c>
      <c r="J144">
        <v>2021</v>
      </c>
      <c r="K144" t="s">
        <v>556</v>
      </c>
      <c r="L144" t="s">
        <v>610</v>
      </c>
      <c r="M144" t="s">
        <v>217</v>
      </c>
      <c r="N144" t="s">
        <v>100</v>
      </c>
      <c r="O144" t="s">
        <v>611</v>
      </c>
      <c r="P144" t="s">
        <v>185</v>
      </c>
      <c r="Q144" t="s">
        <v>162</v>
      </c>
      <c r="R144" t="s">
        <v>75</v>
      </c>
      <c r="S144" t="s">
        <v>75</v>
      </c>
      <c r="T144" t="s">
        <v>75</v>
      </c>
      <c r="U144" t="s">
        <v>76</v>
      </c>
      <c r="V144" t="s">
        <v>76</v>
      </c>
      <c r="W144" t="s">
        <v>75</v>
      </c>
      <c r="X144" t="s">
        <v>111</v>
      </c>
      <c r="Y144" t="s">
        <v>111</v>
      </c>
      <c r="Z144" t="s">
        <v>77</v>
      </c>
      <c r="AA144" t="s">
        <v>235</v>
      </c>
      <c r="AB144" t="s">
        <v>185</v>
      </c>
      <c r="AC144" t="s">
        <v>113</v>
      </c>
      <c r="AD144" t="s">
        <v>235</v>
      </c>
      <c r="AE144" t="s">
        <v>79</v>
      </c>
      <c r="AF144" t="s">
        <v>75</v>
      </c>
      <c r="AG144" t="s">
        <v>612</v>
      </c>
      <c r="AH144" t="s">
        <v>75</v>
      </c>
      <c r="AI144" t="s">
        <v>75</v>
      </c>
      <c r="AK144" t="s">
        <v>115</v>
      </c>
      <c r="AL144" t="s">
        <v>115</v>
      </c>
      <c r="AM144" t="s">
        <v>116</v>
      </c>
      <c r="AN144">
        <v>220</v>
      </c>
      <c r="AO144">
        <v>220</v>
      </c>
      <c r="AP144">
        <v>220</v>
      </c>
      <c r="AQ144" t="s">
        <v>600</v>
      </c>
      <c r="AR144" t="s">
        <v>472</v>
      </c>
      <c r="AS144" t="s">
        <v>613</v>
      </c>
      <c r="AT144" t="s">
        <v>76</v>
      </c>
      <c r="AU144" t="s">
        <v>75</v>
      </c>
      <c r="AV144">
        <v>0.35699999999999998</v>
      </c>
      <c r="AW144">
        <v>0.66669999999999996</v>
      </c>
      <c r="AX144">
        <v>0.39400000000000002</v>
      </c>
      <c r="AY144">
        <v>0.35699999999999998</v>
      </c>
      <c r="AZ144">
        <v>0.66669999999999996</v>
      </c>
      <c r="BA144">
        <v>0.39400000000000002</v>
      </c>
      <c r="BB144" t="s">
        <v>86</v>
      </c>
      <c r="BC144">
        <v>0.66669999999999996</v>
      </c>
      <c r="BD144">
        <v>0.35699999999999998</v>
      </c>
      <c r="BE144">
        <v>0</v>
      </c>
      <c r="BF144">
        <v>0.18160000000000001</v>
      </c>
      <c r="BG144">
        <v>0</v>
      </c>
      <c r="BH144">
        <v>0.29509999999999997</v>
      </c>
      <c r="BI144">
        <v>0</v>
      </c>
      <c r="BJ144">
        <v>0.18160000000000001</v>
      </c>
      <c r="BK144" t="s">
        <v>75</v>
      </c>
      <c r="BL144" t="s">
        <v>614</v>
      </c>
    </row>
    <row r="145" spans="1:65" x14ac:dyDescent="0.55000000000000004">
      <c r="A145" t="s">
        <v>606</v>
      </c>
      <c r="B145">
        <v>28</v>
      </c>
      <c r="C145">
        <v>1</v>
      </c>
      <c r="D145">
        <v>1</v>
      </c>
      <c r="E145">
        <v>1</v>
      </c>
      <c r="F145">
        <v>28.1</v>
      </c>
      <c r="G145" t="s">
        <v>607</v>
      </c>
      <c r="H145" t="s">
        <v>608</v>
      </c>
      <c r="I145" t="s">
        <v>609</v>
      </c>
      <c r="J145">
        <v>2021</v>
      </c>
      <c r="K145" t="s">
        <v>556</v>
      </c>
      <c r="L145" t="s">
        <v>610</v>
      </c>
      <c r="M145" t="s">
        <v>217</v>
      </c>
      <c r="N145" t="s">
        <v>100</v>
      </c>
      <c r="O145" t="s">
        <v>611</v>
      </c>
      <c r="P145" t="s">
        <v>185</v>
      </c>
      <c r="Q145" t="s">
        <v>162</v>
      </c>
      <c r="R145" t="s">
        <v>75</v>
      </c>
      <c r="S145" t="s">
        <v>75</v>
      </c>
      <c r="T145" t="s">
        <v>75</v>
      </c>
      <c r="U145" t="s">
        <v>76</v>
      </c>
      <c r="V145" t="s">
        <v>76</v>
      </c>
      <c r="W145" t="s">
        <v>75</v>
      </c>
      <c r="X145" t="s">
        <v>111</v>
      </c>
      <c r="Y145" t="s">
        <v>111</v>
      </c>
      <c r="Z145" t="s">
        <v>77</v>
      </c>
      <c r="AA145" t="s">
        <v>235</v>
      </c>
      <c r="AB145" t="s">
        <v>185</v>
      </c>
      <c r="AC145" t="s">
        <v>113</v>
      </c>
      <c r="AD145" t="s">
        <v>235</v>
      </c>
      <c r="AE145" t="s">
        <v>79</v>
      </c>
      <c r="AF145" t="s">
        <v>75</v>
      </c>
      <c r="AG145" t="s">
        <v>615</v>
      </c>
      <c r="AH145" t="s">
        <v>75</v>
      </c>
      <c r="AI145" t="s">
        <v>75</v>
      </c>
      <c r="AK145" t="s">
        <v>115</v>
      </c>
      <c r="AL145" t="s">
        <v>115</v>
      </c>
      <c r="AM145" t="s">
        <v>116</v>
      </c>
      <c r="AN145">
        <v>220</v>
      </c>
      <c r="AO145">
        <v>220</v>
      </c>
      <c r="AP145">
        <v>220</v>
      </c>
      <c r="AQ145" t="s">
        <v>600</v>
      </c>
      <c r="AR145" t="s">
        <v>472</v>
      </c>
      <c r="AS145" t="s">
        <v>613</v>
      </c>
      <c r="AT145" t="s">
        <v>76</v>
      </c>
      <c r="AU145" t="s">
        <v>75</v>
      </c>
      <c r="AV145">
        <v>0.35699999999999998</v>
      </c>
      <c r="AW145">
        <v>0.66669999999999996</v>
      </c>
      <c r="AX145">
        <v>0.29799999999999999</v>
      </c>
      <c r="AY145">
        <v>0.35699999999999998</v>
      </c>
      <c r="AZ145">
        <v>0.66669999999999996</v>
      </c>
      <c r="BA145">
        <v>0.29799999999999999</v>
      </c>
      <c r="BB145" t="s">
        <v>86</v>
      </c>
      <c r="BC145">
        <v>0.66669999999999996</v>
      </c>
      <c r="BD145">
        <v>0.35699999999999998</v>
      </c>
      <c r="BE145">
        <v>0</v>
      </c>
      <c r="BF145">
        <v>0.18160000000000001</v>
      </c>
      <c r="BG145">
        <v>0</v>
      </c>
      <c r="BH145">
        <v>0.36320000000000002</v>
      </c>
      <c r="BI145">
        <v>0</v>
      </c>
      <c r="BJ145">
        <v>0.18160000000000001</v>
      </c>
      <c r="BK145" t="s">
        <v>75</v>
      </c>
      <c r="BL145" t="s">
        <v>616</v>
      </c>
    </row>
    <row r="146" spans="1:65" x14ac:dyDescent="0.55000000000000004">
      <c r="A146" t="s">
        <v>606</v>
      </c>
      <c r="B146">
        <v>28</v>
      </c>
      <c r="C146">
        <v>1</v>
      </c>
      <c r="D146">
        <v>2</v>
      </c>
      <c r="E146">
        <v>1</v>
      </c>
      <c r="F146">
        <v>28.1</v>
      </c>
      <c r="G146" t="s">
        <v>617</v>
      </c>
      <c r="H146" t="s">
        <v>608</v>
      </c>
      <c r="I146" t="s">
        <v>609</v>
      </c>
      <c r="J146">
        <v>2021</v>
      </c>
      <c r="K146" t="s">
        <v>556</v>
      </c>
      <c r="L146" t="s">
        <v>610</v>
      </c>
      <c r="M146" t="s">
        <v>217</v>
      </c>
      <c r="N146" t="s">
        <v>100</v>
      </c>
      <c r="O146" t="s">
        <v>611</v>
      </c>
      <c r="P146" t="s">
        <v>185</v>
      </c>
      <c r="Q146" t="s">
        <v>162</v>
      </c>
      <c r="R146" t="s">
        <v>75</v>
      </c>
      <c r="S146" t="s">
        <v>75</v>
      </c>
      <c r="T146" t="s">
        <v>75</v>
      </c>
      <c r="U146" t="s">
        <v>76</v>
      </c>
      <c r="V146" t="s">
        <v>76</v>
      </c>
      <c r="W146" t="s">
        <v>75</v>
      </c>
      <c r="X146" t="s">
        <v>111</v>
      </c>
      <c r="Y146" t="s">
        <v>111</v>
      </c>
      <c r="Z146" t="s">
        <v>77</v>
      </c>
      <c r="AA146" t="s">
        <v>235</v>
      </c>
      <c r="AB146" t="s">
        <v>185</v>
      </c>
      <c r="AC146" t="s">
        <v>113</v>
      </c>
      <c r="AD146" t="s">
        <v>235</v>
      </c>
      <c r="AE146" t="s">
        <v>79</v>
      </c>
      <c r="AF146" t="s">
        <v>75</v>
      </c>
      <c r="AG146" t="s">
        <v>618</v>
      </c>
      <c r="AH146" t="s">
        <v>76</v>
      </c>
      <c r="AI146" t="s">
        <v>75</v>
      </c>
      <c r="AJ146" t="s">
        <v>110</v>
      </c>
      <c r="AK146" t="s">
        <v>115</v>
      </c>
      <c r="AL146" t="s">
        <v>115</v>
      </c>
      <c r="AM146" t="s">
        <v>116</v>
      </c>
      <c r="AN146">
        <v>220</v>
      </c>
      <c r="AO146">
        <v>220</v>
      </c>
      <c r="AP146">
        <v>220</v>
      </c>
      <c r="AQ146" t="s">
        <v>600</v>
      </c>
      <c r="AR146" t="s">
        <v>472</v>
      </c>
      <c r="AS146" t="s">
        <v>613</v>
      </c>
      <c r="AT146" t="s">
        <v>76</v>
      </c>
      <c r="AU146" t="s">
        <v>75</v>
      </c>
      <c r="AV146">
        <v>0.35699999999999998</v>
      </c>
      <c r="AW146">
        <v>0.66669999999999996</v>
      </c>
      <c r="AX146">
        <v>0.35699999999999998</v>
      </c>
      <c r="AY146">
        <v>0.35699999999999998</v>
      </c>
      <c r="AZ146">
        <v>0.66669999999999996</v>
      </c>
      <c r="BA146">
        <v>0.35699999999999998</v>
      </c>
      <c r="BB146" t="s">
        <v>86</v>
      </c>
      <c r="BC146">
        <v>0.66669999999999996</v>
      </c>
      <c r="BD146">
        <v>0.35699999999999998</v>
      </c>
      <c r="BE146">
        <v>0</v>
      </c>
      <c r="BF146">
        <v>0.18160000000000001</v>
      </c>
      <c r="BG146">
        <v>0</v>
      </c>
      <c r="BH146">
        <v>0.29509999999999997</v>
      </c>
      <c r="BI146">
        <v>0</v>
      </c>
      <c r="BJ146">
        <v>0.18160000000000001</v>
      </c>
      <c r="BK146" t="s">
        <v>75</v>
      </c>
      <c r="BL146" t="s">
        <v>619</v>
      </c>
    </row>
    <row r="147" spans="1:65" x14ac:dyDescent="0.55000000000000004">
      <c r="A147" t="s">
        <v>606</v>
      </c>
      <c r="B147">
        <v>28</v>
      </c>
      <c r="C147">
        <v>1</v>
      </c>
      <c r="D147">
        <v>2</v>
      </c>
      <c r="E147">
        <v>1</v>
      </c>
      <c r="F147">
        <v>28.1</v>
      </c>
      <c r="G147" t="s">
        <v>617</v>
      </c>
      <c r="H147" t="s">
        <v>608</v>
      </c>
      <c r="I147" t="s">
        <v>609</v>
      </c>
      <c r="J147">
        <v>2021</v>
      </c>
      <c r="K147" t="s">
        <v>556</v>
      </c>
      <c r="L147" t="s">
        <v>610</v>
      </c>
      <c r="M147" t="s">
        <v>217</v>
      </c>
      <c r="N147" t="s">
        <v>100</v>
      </c>
      <c r="O147" t="s">
        <v>611</v>
      </c>
      <c r="P147" t="s">
        <v>185</v>
      </c>
      <c r="Q147" t="s">
        <v>162</v>
      </c>
      <c r="R147" t="s">
        <v>75</v>
      </c>
      <c r="S147" t="s">
        <v>75</v>
      </c>
      <c r="T147" t="s">
        <v>75</v>
      </c>
      <c r="U147" t="s">
        <v>76</v>
      </c>
      <c r="V147" t="s">
        <v>76</v>
      </c>
      <c r="W147" t="s">
        <v>75</v>
      </c>
      <c r="X147" t="s">
        <v>111</v>
      </c>
      <c r="Y147" t="s">
        <v>111</v>
      </c>
      <c r="Z147" t="s">
        <v>77</v>
      </c>
      <c r="AA147" t="s">
        <v>235</v>
      </c>
      <c r="AB147" t="s">
        <v>185</v>
      </c>
      <c r="AC147" t="s">
        <v>113</v>
      </c>
      <c r="AD147" t="s">
        <v>235</v>
      </c>
      <c r="AE147" t="s">
        <v>79</v>
      </c>
      <c r="AF147" t="s">
        <v>75</v>
      </c>
      <c r="AG147" t="s">
        <v>620</v>
      </c>
      <c r="AH147" t="s">
        <v>76</v>
      </c>
      <c r="AI147" t="s">
        <v>75</v>
      </c>
      <c r="AJ147" t="s">
        <v>110</v>
      </c>
      <c r="AK147" t="s">
        <v>115</v>
      </c>
      <c r="AL147" t="s">
        <v>115</v>
      </c>
      <c r="AM147" t="s">
        <v>116</v>
      </c>
      <c r="AN147">
        <v>220</v>
      </c>
      <c r="AO147">
        <v>220</v>
      </c>
      <c r="AP147">
        <v>220</v>
      </c>
      <c r="AQ147" t="s">
        <v>600</v>
      </c>
      <c r="AR147" t="s">
        <v>472</v>
      </c>
      <c r="AS147" t="s">
        <v>613</v>
      </c>
      <c r="AT147" t="s">
        <v>76</v>
      </c>
      <c r="AU147" t="s">
        <v>75</v>
      </c>
      <c r="AV147">
        <v>0.35699999999999998</v>
      </c>
      <c r="AW147">
        <v>0.66669999999999996</v>
      </c>
      <c r="AX147">
        <v>0.311</v>
      </c>
      <c r="AY147">
        <v>0.35699999999999998</v>
      </c>
      <c r="AZ147">
        <v>0.66669999999999996</v>
      </c>
      <c r="BA147">
        <v>0.311</v>
      </c>
      <c r="BB147" t="s">
        <v>86</v>
      </c>
      <c r="BC147">
        <v>0.66669999999999996</v>
      </c>
      <c r="BD147">
        <v>0.35699999999999998</v>
      </c>
      <c r="BE147">
        <v>0</v>
      </c>
      <c r="BF147">
        <v>0.18160000000000001</v>
      </c>
      <c r="BG147">
        <v>0</v>
      </c>
      <c r="BH147">
        <v>0.37080000000000002</v>
      </c>
      <c r="BI147">
        <v>0</v>
      </c>
      <c r="BJ147">
        <v>0.18160000000000001</v>
      </c>
      <c r="BK147" t="s">
        <v>75</v>
      </c>
      <c r="BL147" t="s">
        <v>621</v>
      </c>
    </row>
    <row r="148" spans="1:65" x14ac:dyDescent="0.55000000000000004">
      <c r="A148" t="s">
        <v>606</v>
      </c>
      <c r="B148">
        <v>28</v>
      </c>
      <c r="C148">
        <v>1</v>
      </c>
      <c r="D148">
        <v>3</v>
      </c>
      <c r="E148">
        <v>1</v>
      </c>
      <c r="F148">
        <v>28.1</v>
      </c>
      <c r="G148" t="s">
        <v>622</v>
      </c>
      <c r="H148" t="s">
        <v>608</v>
      </c>
      <c r="I148" t="s">
        <v>609</v>
      </c>
      <c r="J148">
        <v>2021</v>
      </c>
      <c r="K148" t="s">
        <v>556</v>
      </c>
      <c r="L148" t="s">
        <v>610</v>
      </c>
      <c r="M148" t="s">
        <v>217</v>
      </c>
      <c r="N148" t="s">
        <v>100</v>
      </c>
      <c r="O148" t="s">
        <v>611</v>
      </c>
      <c r="P148" t="s">
        <v>185</v>
      </c>
      <c r="Q148" t="s">
        <v>162</v>
      </c>
      <c r="R148" t="s">
        <v>75</v>
      </c>
      <c r="S148" t="s">
        <v>75</v>
      </c>
      <c r="T148" t="s">
        <v>75</v>
      </c>
      <c r="U148" t="s">
        <v>76</v>
      </c>
      <c r="V148" t="s">
        <v>76</v>
      </c>
      <c r="W148" t="s">
        <v>75</v>
      </c>
      <c r="X148" t="s">
        <v>111</v>
      </c>
      <c r="Y148" t="s">
        <v>111</v>
      </c>
      <c r="Z148" t="s">
        <v>77</v>
      </c>
      <c r="AA148" t="s">
        <v>235</v>
      </c>
      <c r="AB148" t="s">
        <v>185</v>
      </c>
      <c r="AC148" t="s">
        <v>113</v>
      </c>
      <c r="AD148" t="s">
        <v>235</v>
      </c>
      <c r="AE148" t="s">
        <v>79</v>
      </c>
      <c r="AF148" t="s">
        <v>75</v>
      </c>
      <c r="AG148" t="s">
        <v>623</v>
      </c>
      <c r="AH148" t="s">
        <v>76</v>
      </c>
      <c r="AI148" t="s">
        <v>76</v>
      </c>
      <c r="AJ148" t="s">
        <v>120</v>
      </c>
      <c r="AK148" t="s">
        <v>115</v>
      </c>
      <c r="AL148" t="s">
        <v>115</v>
      </c>
      <c r="AM148" t="s">
        <v>116</v>
      </c>
      <c r="AN148">
        <v>220</v>
      </c>
      <c r="AO148">
        <v>220</v>
      </c>
      <c r="AP148">
        <v>220</v>
      </c>
      <c r="AQ148" t="s">
        <v>600</v>
      </c>
      <c r="AR148" t="s">
        <v>472</v>
      </c>
      <c r="AS148" t="s">
        <v>613</v>
      </c>
      <c r="AT148" t="s">
        <v>76</v>
      </c>
      <c r="AU148" t="s">
        <v>75</v>
      </c>
      <c r="AV148">
        <v>0.35699999999999998</v>
      </c>
      <c r="AW148">
        <v>0.66669999999999996</v>
      </c>
      <c r="AX148">
        <v>0.39700000000000002</v>
      </c>
      <c r="AY148">
        <v>0.35699999999999998</v>
      </c>
      <c r="AZ148">
        <v>0.66669999999999996</v>
      </c>
      <c r="BA148">
        <v>0.39700000000000002</v>
      </c>
      <c r="BB148" t="s">
        <v>86</v>
      </c>
      <c r="BC148">
        <v>0.66669999999999996</v>
      </c>
      <c r="BD148">
        <v>0.35699999999999998</v>
      </c>
      <c r="BE148">
        <v>0</v>
      </c>
      <c r="BF148">
        <v>0.18160000000000001</v>
      </c>
      <c r="BG148">
        <v>0</v>
      </c>
      <c r="BH148">
        <v>0.31030000000000002</v>
      </c>
      <c r="BI148">
        <v>0</v>
      </c>
      <c r="BJ148">
        <v>0.18160000000000001</v>
      </c>
      <c r="BK148" t="s">
        <v>75</v>
      </c>
      <c r="BL148" t="s">
        <v>624</v>
      </c>
    </row>
    <row r="149" spans="1:65" x14ac:dyDescent="0.55000000000000004">
      <c r="A149" t="s">
        <v>606</v>
      </c>
      <c r="B149">
        <v>28</v>
      </c>
      <c r="C149">
        <v>1</v>
      </c>
      <c r="D149">
        <v>3</v>
      </c>
      <c r="E149">
        <v>1</v>
      </c>
      <c r="F149">
        <v>28.1</v>
      </c>
      <c r="G149" t="s">
        <v>622</v>
      </c>
      <c r="H149" t="s">
        <v>608</v>
      </c>
      <c r="I149" t="s">
        <v>609</v>
      </c>
      <c r="J149">
        <v>2021</v>
      </c>
      <c r="K149" t="s">
        <v>556</v>
      </c>
      <c r="L149" t="s">
        <v>610</v>
      </c>
      <c r="M149" t="s">
        <v>217</v>
      </c>
      <c r="N149" t="s">
        <v>100</v>
      </c>
      <c r="O149" t="s">
        <v>611</v>
      </c>
      <c r="P149" t="s">
        <v>185</v>
      </c>
      <c r="Q149" t="s">
        <v>162</v>
      </c>
      <c r="R149" t="s">
        <v>75</v>
      </c>
      <c r="S149" t="s">
        <v>75</v>
      </c>
      <c r="T149" t="s">
        <v>75</v>
      </c>
      <c r="U149" t="s">
        <v>76</v>
      </c>
      <c r="V149" t="s">
        <v>76</v>
      </c>
      <c r="W149" t="s">
        <v>75</v>
      </c>
      <c r="X149" t="s">
        <v>111</v>
      </c>
      <c r="Y149" t="s">
        <v>111</v>
      </c>
      <c r="Z149" t="s">
        <v>77</v>
      </c>
      <c r="AA149" t="s">
        <v>235</v>
      </c>
      <c r="AB149" t="s">
        <v>185</v>
      </c>
      <c r="AC149" t="s">
        <v>113</v>
      </c>
      <c r="AD149" t="s">
        <v>235</v>
      </c>
      <c r="AE149" t="s">
        <v>79</v>
      </c>
      <c r="AF149" t="s">
        <v>75</v>
      </c>
      <c r="AG149" t="s">
        <v>625</v>
      </c>
      <c r="AH149" t="s">
        <v>76</v>
      </c>
      <c r="AI149" t="s">
        <v>76</v>
      </c>
      <c r="AJ149" t="s">
        <v>120</v>
      </c>
      <c r="AK149" t="s">
        <v>115</v>
      </c>
      <c r="AL149" t="s">
        <v>115</v>
      </c>
      <c r="AM149" t="s">
        <v>116</v>
      </c>
      <c r="AN149">
        <v>220</v>
      </c>
      <c r="AO149">
        <v>220</v>
      </c>
      <c r="AP149">
        <v>220</v>
      </c>
      <c r="AQ149" t="s">
        <v>600</v>
      </c>
      <c r="AR149" t="s">
        <v>472</v>
      </c>
      <c r="AS149" t="s">
        <v>613</v>
      </c>
      <c r="AT149" t="s">
        <v>76</v>
      </c>
      <c r="AU149" t="s">
        <v>75</v>
      </c>
      <c r="AV149">
        <v>0.35699999999999998</v>
      </c>
      <c r="AW149">
        <v>0.66669999999999996</v>
      </c>
      <c r="AX149">
        <v>0.26200000000000001</v>
      </c>
      <c r="AY149">
        <v>0.35699999999999998</v>
      </c>
      <c r="AZ149">
        <v>0.66669999999999996</v>
      </c>
      <c r="BA149">
        <v>0.26200000000000001</v>
      </c>
      <c r="BB149" t="s">
        <v>86</v>
      </c>
      <c r="BC149">
        <v>0.66669999999999996</v>
      </c>
      <c r="BD149">
        <v>0.35699999999999998</v>
      </c>
      <c r="BE149">
        <v>0</v>
      </c>
      <c r="BF149">
        <v>0.18160000000000001</v>
      </c>
      <c r="BG149">
        <v>0</v>
      </c>
      <c r="BH149">
        <v>0.36320000000000002</v>
      </c>
      <c r="BI149">
        <v>0</v>
      </c>
      <c r="BJ149">
        <v>0.18160000000000001</v>
      </c>
      <c r="BK149" t="s">
        <v>75</v>
      </c>
      <c r="BL149" t="s">
        <v>626</v>
      </c>
    </row>
    <row r="150" spans="1:65" x14ac:dyDescent="0.55000000000000004">
      <c r="A150" t="s">
        <v>606</v>
      </c>
      <c r="B150">
        <v>28</v>
      </c>
      <c r="C150">
        <v>1</v>
      </c>
      <c r="D150">
        <v>4</v>
      </c>
      <c r="E150">
        <v>1</v>
      </c>
      <c r="F150">
        <v>28.1</v>
      </c>
      <c r="G150" t="s">
        <v>627</v>
      </c>
      <c r="H150" t="s">
        <v>608</v>
      </c>
      <c r="I150" t="s">
        <v>609</v>
      </c>
      <c r="J150">
        <v>2021</v>
      </c>
      <c r="K150" t="s">
        <v>556</v>
      </c>
      <c r="L150" t="s">
        <v>610</v>
      </c>
      <c r="M150" t="s">
        <v>217</v>
      </c>
      <c r="N150" t="s">
        <v>100</v>
      </c>
      <c r="O150" t="s">
        <v>611</v>
      </c>
      <c r="P150" t="s">
        <v>185</v>
      </c>
      <c r="Q150" t="s">
        <v>162</v>
      </c>
      <c r="R150" t="s">
        <v>75</v>
      </c>
      <c r="S150" t="s">
        <v>75</v>
      </c>
      <c r="T150" t="s">
        <v>75</v>
      </c>
      <c r="U150" t="s">
        <v>76</v>
      </c>
      <c r="V150" t="s">
        <v>76</v>
      </c>
      <c r="W150" t="s">
        <v>75</v>
      </c>
      <c r="X150" t="s">
        <v>111</v>
      </c>
      <c r="Y150" t="s">
        <v>111</v>
      </c>
      <c r="Z150" t="s">
        <v>77</v>
      </c>
      <c r="AA150" t="s">
        <v>235</v>
      </c>
      <c r="AB150" t="s">
        <v>185</v>
      </c>
      <c r="AC150" t="s">
        <v>113</v>
      </c>
      <c r="AD150" t="s">
        <v>235</v>
      </c>
      <c r="AE150" t="s">
        <v>79</v>
      </c>
      <c r="AF150" t="s">
        <v>75</v>
      </c>
      <c r="AG150" t="s">
        <v>628</v>
      </c>
      <c r="AH150" t="s">
        <v>76</v>
      </c>
      <c r="AI150" t="s">
        <v>76</v>
      </c>
      <c r="AJ150" t="s">
        <v>120</v>
      </c>
      <c r="AK150" t="s">
        <v>115</v>
      </c>
      <c r="AL150" t="s">
        <v>115</v>
      </c>
      <c r="AM150" t="s">
        <v>116</v>
      </c>
      <c r="AN150">
        <v>220</v>
      </c>
      <c r="AO150">
        <v>220</v>
      </c>
      <c r="AP150">
        <v>220</v>
      </c>
      <c r="AQ150" t="s">
        <v>600</v>
      </c>
      <c r="AR150" t="s">
        <v>472</v>
      </c>
      <c r="AS150" t="s">
        <v>613</v>
      </c>
      <c r="AT150" t="s">
        <v>76</v>
      </c>
      <c r="AU150" t="s">
        <v>75</v>
      </c>
      <c r="AV150">
        <v>0.35699999999999998</v>
      </c>
      <c r="AW150">
        <v>0.66669999999999996</v>
      </c>
      <c r="AX150">
        <v>0.39</v>
      </c>
      <c r="AY150">
        <v>0.35699999999999998</v>
      </c>
      <c r="AZ150">
        <v>0.66669999999999996</v>
      </c>
      <c r="BA150">
        <v>0.39</v>
      </c>
      <c r="BB150" t="s">
        <v>86</v>
      </c>
      <c r="BC150">
        <v>0.66669999999999996</v>
      </c>
      <c r="BD150">
        <v>0.35699999999999998</v>
      </c>
      <c r="BE150">
        <v>0</v>
      </c>
      <c r="BF150">
        <v>0.18160000000000001</v>
      </c>
      <c r="BG150">
        <v>0</v>
      </c>
      <c r="BH150">
        <v>0.28760000000000002</v>
      </c>
      <c r="BI150">
        <v>0</v>
      </c>
      <c r="BJ150">
        <v>0.18160000000000001</v>
      </c>
      <c r="BK150" t="s">
        <v>75</v>
      </c>
      <c r="BL150" t="s">
        <v>629</v>
      </c>
    </row>
    <row r="151" spans="1:65" x14ac:dyDescent="0.55000000000000004">
      <c r="A151" t="s">
        <v>606</v>
      </c>
      <c r="B151">
        <v>28</v>
      </c>
      <c r="C151">
        <v>1</v>
      </c>
      <c r="D151">
        <v>4</v>
      </c>
      <c r="E151">
        <v>1</v>
      </c>
      <c r="F151">
        <v>28.1</v>
      </c>
      <c r="G151" t="s">
        <v>627</v>
      </c>
      <c r="H151" t="s">
        <v>608</v>
      </c>
      <c r="I151" t="s">
        <v>609</v>
      </c>
      <c r="J151">
        <v>2021</v>
      </c>
      <c r="K151" t="s">
        <v>556</v>
      </c>
      <c r="L151" t="s">
        <v>610</v>
      </c>
      <c r="M151" t="s">
        <v>217</v>
      </c>
      <c r="N151" t="s">
        <v>100</v>
      </c>
      <c r="O151" t="s">
        <v>611</v>
      </c>
      <c r="P151" t="s">
        <v>185</v>
      </c>
      <c r="Q151" t="s">
        <v>162</v>
      </c>
      <c r="R151" t="s">
        <v>75</v>
      </c>
      <c r="S151" t="s">
        <v>75</v>
      </c>
      <c r="T151" t="s">
        <v>75</v>
      </c>
      <c r="U151" t="s">
        <v>76</v>
      </c>
      <c r="V151" t="s">
        <v>76</v>
      </c>
      <c r="W151" t="s">
        <v>75</v>
      </c>
      <c r="X151" t="s">
        <v>111</v>
      </c>
      <c r="Y151" t="s">
        <v>111</v>
      </c>
      <c r="Z151" t="s">
        <v>77</v>
      </c>
      <c r="AA151" t="s">
        <v>235</v>
      </c>
      <c r="AB151" t="s">
        <v>185</v>
      </c>
      <c r="AC151" t="s">
        <v>113</v>
      </c>
      <c r="AD151" t="s">
        <v>235</v>
      </c>
      <c r="AE151" t="s">
        <v>79</v>
      </c>
      <c r="AF151" t="s">
        <v>75</v>
      </c>
      <c r="AG151" t="s">
        <v>447</v>
      </c>
      <c r="AH151" t="s">
        <v>76</v>
      </c>
      <c r="AI151" t="s">
        <v>76</v>
      </c>
      <c r="AJ151" t="s">
        <v>120</v>
      </c>
      <c r="AK151" t="s">
        <v>115</v>
      </c>
      <c r="AL151" t="s">
        <v>115</v>
      </c>
      <c r="AM151" t="s">
        <v>116</v>
      </c>
      <c r="AN151">
        <v>220</v>
      </c>
      <c r="AO151">
        <v>220</v>
      </c>
      <c r="AP151">
        <v>220</v>
      </c>
      <c r="AQ151" t="s">
        <v>600</v>
      </c>
      <c r="AR151" t="s">
        <v>472</v>
      </c>
      <c r="AS151" t="s">
        <v>613</v>
      </c>
      <c r="AT151" t="s">
        <v>76</v>
      </c>
      <c r="AU151" t="s">
        <v>75</v>
      </c>
      <c r="AV151">
        <v>0.35699999999999998</v>
      </c>
      <c r="AW151">
        <v>0.66669999999999996</v>
      </c>
      <c r="AX151">
        <v>0.32700000000000001</v>
      </c>
      <c r="AY151">
        <v>0.35699999999999998</v>
      </c>
      <c r="AZ151">
        <v>0.66669999999999996</v>
      </c>
      <c r="BA151">
        <v>0.32700000000000001</v>
      </c>
      <c r="BB151" t="s">
        <v>86</v>
      </c>
      <c r="BC151">
        <v>0.66669999999999996</v>
      </c>
      <c r="BD151">
        <v>0.35699999999999998</v>
      </c>
      <c r="BE151">
        <v>0</v>
      </c>
      <c r="BF151">
        <v>0.18160000000000001</v>
      </c>
      <c r="BG151">
        <v>0</v>
      </c>
      <c r="BH151">
        <v>0.37840000000000001</v>
      </c>
      <c r="BI151">
        <v>0</v>
      </c>
      <c r="BJ151">
        <v>0.18160000000000001</v>
      </c>
      <c r="BK151" t="s">
        <v>75</v>
      </c>
      <c r="BL151" t="s">
        <v>630</v>
      </c>
    </row>
    <row r="152" spans="1:65" x14ac:dyDescent="0.55000000000000004">
      <c r="A152" t="s">
        <v>631</v>
      </c>
      <c r="B152">
        <v>29</v>
      </c>
      <c r="C152">
        <v>1</v>
      </c>
      <c r="D152">
        <v>1</v>
      </c>
      <c r="E152">
        <v>1</v>
      </c>
      <c r="F152">
        <v>29.1</v>
      </c>
      <c r="G152" t="s">
        <v>632</v>
      </c>
      <c r="H152" t="s">
        <v>633</v>
      </c>
      <c r="I152" t="s">
        <v>634</v>
      </c>
      <c r="J152">
        <v>2022</v>
      </c>
      <c r="K152" t="s">
        <v>556</v>
      </c>
      <c r="L152" t="s">
        <v>635</v>
      </c>
      <c r="M152" t="s">
        <v>108</v>
      </c>
      <c r="N152" t="s">
        <v>72</v>
      </c>
      <c r="O152" t="s">
        <v>636</v>
      </c>
      <c r="P152" t="s">
        <v>120</v>
      </c>
      <c r="Q152" t="s">
        <v>162</v>
      </c>
      <c r="R152" t="s">
        <v>75</v>
      </c>
      <c r="S152" t="s">
        <v>75</v>
      </c>
      <c r="T152" t="s">
        <v>76</v>
      </c>
      <c r="U152" t="s">
        <v>76</v>
      </c>
      <c r="V152" t="s">
        <v>76</v>
      </c>
      <c r="W152" t="s">
        <v>75</v>
      </c>
      <c r="X152" t="s">
        <v>111</v>
      </c>
      <c r="Y152" t="s">
        <v>111</v>
      </c>
      <c r="Z152" t="s">
        <v>77</v>
      </c>
      <c r="AA152" t="s">
        <v>112</v>
      </c>
      <c r="AB152" t="s">
        <v>134</v>
      </c>
      <c r="AC152" t="s">
        <v>113</v>
      </c>
      <c r="AD152" t="s">
        <v>112</v>
      </c>
      <c r="AE152" t="s">
        <v>79</v>
      </c>
      <c r="AF152" t="s">
        <v>75</v>
      </c>
      <c r="AG152" t="s">
        <v>450</v>
      </c>
      <c r="AH152" t="s">
        <v>76</v>
      </c>
      <c r="AI152" t="s">
        <v>75</v>
      </c>
      <c r="AJ152" t="s">
        <v>120</v>
      </c>
      <c r="AK152" t="s">
        <v>115</v>
      </c>
      <c r="AL152" t="s">
        <v>115</v>
      </c>
      <c r="AM152" t="s">
        <v>116</v>
      </c>
      <c r="AN152">
        <v>102</v>
      </c>
      <c r="AO152">
        <v>27</v>
      </c>
      <c r="AP152">
        <v>27</v>
      </c>
      <c r="AQ152" t="s">
        <v>600</v>
      </c>
      <c r="AR152" t="s">
        <v>472</v>
      </c>
      <c r="AS152" t="s">
        <v>637</v>
      </c>
      <c r="AT152" t="s">
        <v>76</v>
      </c>
      <c r="AU152" t="s">
        <v>75</v>
      </c>
      <c r="AV152">
        <v>0.60370000000000001</v>
      </c>
      <c r="AW152">
        <v>0.8</v>
      </c>
      <c r="AX152">
        <v>0.70740000000000003</v>
      </c>
      <c r="AY152">
        <v>0.60370000000000001</v>
      </c>
      <c r="AZ152">
        <v>0.8</v>
      </c>
      <c r="BA152">
        <v>0.70740000000000003</v>
      </c>
      <c r="BB152" t="s">
        <v>86</v>
      </c>
      <c r="BC152">
        <v>0.8</v>
      </c>
      <c r="BD152">
        <v>0.60370000000000001</v>
      </c>
      <c r="BE152">
        <v>0</v>
      </c>
      <c r="BF152">
        <v>0.15459999999999999</v>
      </c>
      <c r="BG152">
        <v>0</v>
      </c>
      <c r="BH152">
        <v>0.14399999999999999</v>
      </c>
      <c r="BI152">
        <v>0</v>
      </c>
      <c r="BJ152">
        <v>0.15459999999999999</v>
      </c>
      <c r="BK152" t="s">
        <v>75</v>
      </c>
    </row>
    <row r="153" spans="1:65" x14ac:dyDescent="0.55000000000000004">
      <c r="A153" t="s">
        <v>631</v>
      </c>
      <c r="B153">
        <v>29</v>
      </c>
      <c r="C153">
        <v>1</v>
      </c>
      <c r="D153">
        <v>2</v>
      </c>
      <c r="E153">
        <v>1</v>
      </c>
      <c r="F153">
        <v>29.1</v>
      </c>
      <c r="G153" t="s">
        <v>638</v>
      </c>
      <c r="H153" t="s">
        <v>633</v>
      </c>
      <c r="I153" t="s">
        <v>634</v>
      </c>
      <c r="J153">
        <v>2022</v>
      </c>
      <c r="K153" t="s">
        <v>556</v>
      </c>
      <c r="L153" t="s">
        <v>635</v>
      </c>
      <c r="M153" t="s">
        <v>108</v>
      </c>
      <c r="N153" t="s">
        <v>72</v>
      </c>
      <c r="O153" t="s">
        <v>636</v>
      </c>
      <c r="P153" t="s">
        <v>120</v>
      </c>
      <c r="Q153" t="s">
        <v>162</v>
      </c>
      <c r="R153" t="s">
        <v>75</v>
      </c>
      <c r="S153" t="s">
        <v>75</v>
      </c>
      <c r="T153" t="s">
        <v>76</v>
      </c>
      <c r="U153" t="s">
        <v>76</v>
      </c>
      <c r="V153" t="s">
        <v>76</v>
      </c>
      <c r="W153" t="s">
        <v>75</v>
      </c>
      <c r="X153" t="s">
        <v>111</v>
      </c>
      <c r="Y153" t="s">
        <v>111</v>
      </c>
      <c r="Z153" t="s">
        <v>77</v>
      </c>
      <c r="AA153" t="s">
        <v>112</v>
      </c>
      <c r="AB153" t="s">
        <v>134</v>
      </c>
      <c r="AC153" t="s">
        <v>113</v>
      </c>
      <c r="AD153" t="s">
        <v>112</v>
      </c>
      <c r="AE153" t="s">
        <v>79</v>
      </c>
      <c r="AF153" t="s">
        <v>75</v>
      </c>
      <c r="AG153" t="s">
        <v>453</v>
      </c>
      <c r="AH153" t="s">
        <v>76</v>
      </c>
      <c r="AI153" t="s">
        <v>75</v>
      </c>
      <c r="AJ153" t="s">
        <v>120</v>
      </c>
      <c r="AK153" t="s">
        <v>115</v>
      </c>
      <c r="AL153" t="s">
        <v>115</v>
      </c>
      <c r="AM153" t="s">
        <v>116</v>
      </c>
      <c r="AN153">
        <v>102</v>
      </c>
      <c r="AO153">
        <v>26</v>
      </c>
      <c r="AP153">
        <v>24</v>
      </c>
      <c r="AQ153" t="s">
        <v>600</v>
      </c>
      <c r="AR153" t="s">
        <v>472</v>
      </c>
      <c r="AS153" t="s">
        <v>637</v>
      </c>
      <c r="AT153" t="s">
        <v>76</v>
      </c>
      <c r="AU153" t="s">
        <v>75</v>
      </c>
      <c r="AV153">
        <v>0.55379999999999996</v>
      </c>
      <c r="AW153">
        <v>0.8</v>
      </c>
      <c r="AX153">
        <v>0.74199999999999999</v>
      </c>
      <c r="AY153">
        <v>0.55379999999999996</v>
      </c>
      <c r="AZ153">
        <v>0.8</v>
      </c>
      <c r="BA153">
        <v>0.74199999999999999</v>
      </c>
      <c r="BB153" t="s">
        <v>86</v>
      </c>
      <c r="BC153">
        <v>0.8</v>
      </c>
      <c r="BD153">
        <v>0.55379999999999996</v>
      </c>
      <c r="BE153">
        <v>0</v>
      </c>
      <c r="BF153">
        <v>0.1573</v>
      </c>
      <c r="BG153">
        <v>0</v>
      </c>
      <c r="BH153">
        <v>0.14430000000000001</v>
      </c>
      <c r="BI153">
        <v>0</v>
      </c>
      <c r="BJ153">
        <v>0.1573</v>
      </c>
      <c r="BK153" t="s">
        <v>75</v>
      </c>
    </row>
    <row r="154" spans="1:65" x14ac:dyDescent="0.55000000000000004">
      <c r="A154" t="s">
        <v>639</v>
      </c>
      <c r="B154">
        <v>31</v>
      </c>
      <c r="C154">
        <v>1</v>
      </c>
      <c r="D154">
        <v>1</v>
      </c>
      <c r="E154">
        <v>1</v>
      </c>
      <c r="F154">
        <v>31.1</v>
      </c>
      <c r="G154" t="s">
        <v>640</v>
      </c>
      <c r="H154" t="s">
        <v>641</v>
      </c>
      <c r="I154" t="s">
        <v>642</v>
      </c>
      <c r="J154">
        <v>2023</v>
      </c>
      <c r="K154" t="s">
        <v>556</v>
      </c>
      <c r="L154" t="s">
        <v>597</v>
      </c>
      <c r="M154" t="s">
        <v>99</v>
      </c>
      <c r="N154" t="s">
        <v>100</v>
      </c>
      <c r="O154" t="s">
        <v>643</v>
      </c>
      <c r="P154" t="s">
        <v>134</v>
      </c>
      <c r="Q154" t="s">
        <v>134</v>
      </c>
      <c r="R154" t="s">
        <v>75</v>
      </c>
      <c r="S154" t="s">
        <v>75</v>
      </c>
      <c r="T154" t="s">
        <v>76</v>
      </c>
      <c r="U154" t="s">
        <v>75</v>
      </c>
      <c r="V154" t="s">
        <v>75</v>
      </c>
      <c r="W154" t="s">
        <v>75</v>
      </c>
      <c r="X154" t="s">
        <v>111</v>
      </c>
      <c r="Y154" t="s">
        <v>111</v>
      </c>
      <c r="Z154" t="s">
        <v>77</v>
      </c>
      <c r="AA154" t="s">
        <v>235</v>
      </c>
      <c r="AB154" t="s">
        <v>134</v>
      </c>
      <c r="AC154" t="s">
        <v>113</v>
      </c>
      <c r="AD154" t="s">
        <v>235</v>
      </c>
      <c r="AE154" t="s">
        <v>79</v>
      </c>
      <c r="AF154" t="s">
        <v>75</v>
      </c>
      <c r="AG154" t="s">
        <v>605</v>
      </c>
      <c r="AH154" t="s">
        <v>75</v>
      </c>
      <c r="AI154" t="s">
        <v>75</v>
      </c>
      <c r="AK154" t="s">
        <v>115</v>
      </c>
      <c r="AL154" t="s">
        <v>115</v>
      </c>
      <c r="AM154" t="s">
        <v>116</v>
      </c>
      <c r="AN154">
        <v>12</v>
      </c>
      <c r="AO154">
        <v>4</v>
      </c>
      <c r="AP154">
        <v>4</v>
      </c>
      <c r="AQ154" t="s">
        <v>644</v>
      </c>
      <c r="AR154" t="s">
        <v>472</v>
      </c>
      <c r="AS154" t="s">
        <v>637</v>
      </c>
      <c r="AT154" t="s">
        <v>76</v>
      </c>
      <c r="AU154" t="s">
        <v>75</v>
      </c>
      <c r="AV154">
        <v>0.77</v>
      </c>
      <c r="AW154">
        <v>0.8</v>
      </c>
      <c r="AX154">
        <v>0.84</v>
      </c>
      <c r="AY154">
        <v>0.77</v>
      </c>
      <c r="AZ154">
        <v>0.8</v>
      </c>
      <c r="BA154">
        <v>0.84</v>
      </c>
      <c r="BB154" t="s">
        <v>86</v>
      </c>
      <c r="BC154">
        <v>0.8</v>
      </c>
      <c r="BD154">
        <v>0.77</v>
      </c>
      <c r="BE154">
        <v>1</v>
      </c>
      <c r="BF154">
        <v>3.0599999999999999E-2</v>
      </c>
      <c r="BG154">
        <v>0</v>
      </c>
      <c r="BH154">
        <v>4.0800000000000003E-2</v>
      </c>
      <c r="BI154">
        <v>0</v>
      </c>
      <c r="BJ154">
        <v>3.0599999999999999E-2</v>
      </c>
      <c r="BK154" t="s">
        <v>75</v>
      </c>
      <c r="BL154" t="s">
        <v>645</v>
      </c>
      <c r="BM154" t="s">
        <v>646</v>
      </c>
    </row>
    <row r="155" spans="1:65" x14ac:dyDescent="0.55000000000000004">
      <c r="A155" t="s">
        <v>639</v>
      </c>
      <c r="B155">
        <v>31</v>
      </c>
      <c r="C155">
        <v>1</v>
      </c>
      <c r="D155">
        <v>2</v>
      </c>
      <c r="E155">
        <v>1</v>
      </c>
      <c r="F155">
        <v>31.1</v>
      </c>
      <c r="G155" t="s">
        <v>647</v>
      </c>
      <c r="H155" t="s">
        <v>641</v>
      </c>
      <c r="I155" t="s">
        <v>642</v>
      </c>
      <c r="J155">
        <v>2023</v>
      </c>
      <c r="K155" t="s">
        <v>556</v>
      </c>
      <c r="L155" t="s">
        <v>597</v>
      </c>
      <c r="M155" t="s">
        <v>99</v>
      </c>
      <c r="N155" t="s">
        <v>100</v>
      </c>
      <c r="O155" t="s">
        <v>643</v>
      </c>
      <c r="P155" t="s">
        <v>134</v>
      </c>
      <c r="Q155" t="s">
        <v>134</v>
      </c>
      <c r="R155" t="s">
        <v>75</v>
      </c>
      <c r="S155" t="s">
        <v>75</v>
      </c>
      <c r="T155" t="s">
        <v>76</v>
      </c>
      <c r="U155" t="s">
        <v>75</v>
      </c>
      <c r="V155" t="s">
        <v>75</v>
      </c>
      <c r="W155" t="s">
        <v>75</v>
      </c>
      <c r="X155" t="s">
        <v>111</v>
      </c>
      <c r="Y155" t="s">
        <v>111</v>
      </c>
      <c r="Z155" t="s">
        <v>77</v>
      </c>
      <c r="AA155" t="s">
        <v>235</v>
      </c>
      <c r="AB155" t="s">
        <v>134</v>
      </c>
      <c r="AC155" t="s">
        <v>113</v>
      </c>
      <c r="AD155" t="s">
        <v>235</v>
      </c>
      <c r="AE155" t="s">
        <v>79</v>
      </c>
      <c r="AF155" t="s">
        <v>75</v>
      </c>
      <c r="AG155" t="s">
        <v>198</v>
      </c>
      <c r="AH155" t="s">
        <v>75</v>
      </c>
      <c r="AI155" t="s">
        <v>75</v>
      </c>
      <c r="AK155" t="s">
        <v>115</v>
      </c>
      <c r="AL155" t="s">
        <v>115</v>
      </c>
      <c r="AM155" t="s">
        <v>116</v>
      </c>
      <c r="AN155">
        <v>12</v>
      </c>
      <c r="AO155">
        <v>4</v>
      </c>
      <c r="AP155">
        <v>4</v>
      </c>
      <c r="AQ155" t="s">
        <v>644</v>
      </c>
      <c r="AR155" t="s">
        <v>472</v>
      </c>
      <c r="AS155" t="s">
        <v>637</v>
      </c>
      <c r="AT155" t="s">
        <v>76</v>
      </c>
      <c r="AU155" t="s">
        <v>75</v>
      </c>
      <c r="AV155">
        <v>0.81</v>
      </c>
      <c r="AW155">
        <v>0.8</v>
      </c>
      <c r="AX155">
        <v>0.85</v>
      </c>
      <c r="AY155">
        <v>0.81</v>
      </c>
      <c r="AZ155">
        <v>0.8</v>
      </c>
      <c r="BA155">
        <v>0.85</v>
      </c>
      <c r="BB155" t="s">
        <v>79</v>
      </c>
      <c r="BC155">
        <v>0.81</v>
      </c>
      <c r="BD155">
        <v>0.8</v>
      </c>
      <c r="BE155">
        <v>1</v>
      </c>
      <c r="BF155">
        <v>4.3299999999999998E-2</v>
      </c>
      <c r="BG155">
        <v>0</v>
      </c>
      <c r="BH155">
        <v>4.3299999999999998E-2</v>
      </c>
      <c r="BI155">
        <v>4.3292252000000003E-2</v>
      </c>
      <c r="BJ155">
        <v>0</v>
      </c>
      <c r="BK155" t="s">
        <v>75</v>
      </c>
      <c r="BL155" t="s">
        <v>648</v>
      </c>
    </row>
    <row r="156" spans="1:65" x14ac:dyDescent="0.55000000000000004">
      <c r="A156" t="s">
        <v>639</v>
      </c>
      <c r="B156">
        <v>31</v>
      </c>
      <c r="C156">
        <v>1</v>
      </c>
      <c r="D156">
        <v>3</v>
      </c>
      <c r="E156">
        <v>1</v>
      </c>
      <c r="F156">
        <v>31.1</v>
      </c>
      <c r="G156" t="s">
        <v>649</v>
      </c>
      <c r="H156" t="s">
        <v>641</v>
      </c>
      <c r="I156" t="s">
        <v>642</v>
      </c>
      <c r="J156">
        <v>2023</v>
      </c>
      <c r="K156" t="s">
        <v>556</v>
      </c>
      <c r="L156" t="s">
        <v>597</v>
      </c>
      <c r="M156" t="s">
        <v>99</v>
      </c>
      <c r="N156" t="s">
        <v>100</v>
      </c>
      <c r="O156" t="s">
        <v>643</v>
      </c>
      <c r="P156" t="s">
        <v>134</v>
      </c>
      <c r="Q156" t="s">
        <v>134</v>
      </c>
      <c r="R156" t="s">
        <v>75</v>
      </c>
      <c r="S156" t="s">
        <v>75</v>
      </c>
      <c r="T156" t="s">
        <v>76</v>
      </c>
      <c r="U156" t="s">
        <v>75</v>
      </c>
      <c r="V156" t="s">
        <v>75</v>
      </c>
      <c r="W156" t="s">
        <v>75</v>
      </c>
      <c r="X156" t="s">
        <v>111</v>
      </c>
      <c r="Y156" t="s">
        <v>111</v>
      </c>
      <c r="Z156" t="s">
        <v>77</v>
      </c>
      <c r="AA156" t="s">
        <v>235</v>
      </c>
      <c r="AB156" t="s">
        <v>134</v>
      </c>
      <c r="AC156" t="s">
        <v>113</v>
      </c>
      <c r="AD156" t="s">
        <v>235</v>
      </c>
      <c r="AE156" t="s">
        <v>79</v>
      </c>
      <c r="AF156" t="s">
        <v>75</v>
      </c>
      <c r="AG156" t="s">
        <v>201</v>
      </c>
      <c r="AH156" t="s">
        <v>76</v>
      </c>
      <c r="AI156" t="s">
        <v>75</v>
      </c>
      <c r="AK156" t="s">
        <v>115</v>
      </c>
      <c r="AL156" t="s">
        <v>115</v>
      </c>
      <c r="AM156" t="s">
        <v>116</v>
      </c>
      <c r="AN156">
        <v>12</v>
      </c>
      <c r="AO156">
        <v>4</v>
      </c>
      <c r="AP156">
        <v>4</v>
      </c>
      <c r="AQ156" t="s">
        <v>644</v>
      </c>
      <c r="AR156" t="s">
        <v>472</v>
      </c>
      <c r="AS156" t="s">
        <v>637</v>
      </c>
      <c r="AT156" t="s">
        <v>76</v>
      </c>
      <c r="AU156" t="s">
        <v>75</v>
      </c>
      <c r="AV156">
        <v>0.77</v>
      </c>
      <c r="AW156">
        <v>0.8</v>
      </c>
      <c r="AX156">
        <v>0.73</v>
      </c>
      <c r="AY156">
        <v>0.77</v>
      </c>
      <c r="AZ156">
        <v>0.8</v>
      </c>
      <c r="BA156">
        <v>0.73</v>
      </c>
      <c r="BB156" t="s">
        <v>86</v>
      </c>
      <c r="BC156">
        <v>0.8</v>
      </c>
      <c r="BD156">
        <v>0.77</v>
      </c>
      <c r="BE156">
        <v>0</v>
      </c>
      <c r="BF156">
        <v>3.0599999999999999E-2</v>
      </c>
      <c r="BG156">
        <v>0</v>
      </c>
      <c r="BH156">
        <v>5.0999999999999997E-2</v>
      </c>
      <c r="BI156">
        <v>0</v>
      </c>
      <c r="BJ156">
        <v>3.0599999999999999E-2</v>
      </c>
      <c r="BK156" t="s">
        <v>75</v>
      </c>
      <c r="BL156" t="s">
        <v>650</v>
      </c>
    </row>
    <row r="157" spans="1:65" x14ac:dyDescent="0.55000000000000004">
      <c r="A157" t="s">
        <v>639</v>
      </c>
      <c r="B157">
        <v>31</v>
      </c>
      <c r="C157">
        <v>1</v>
      </c>
      <c r="D157">
        <v>4</v>
      </c>
      <c r="E157">
        <v>1</v>
      </c>
      <c r="F157">
        <v>31.1</v>
      </c>
      <c r="G157" t="s">
        <v>651</v>
      </c>
      <c r="H157" t="s">
        <v>641</v>
      </c>
      <c r="I157" t="s">
        <v>642</v>
      </c>
      <c r="J157">
        <v>2023</v>
      </c>
      <c r="K157" t="s">
        <v>556</v>
      </c>
      <c r="L157" t="s">
        <v>597</v>
      </c>
      <c r="M157" t="s">
        <v>99</v>
      </c>
      <c r="N157" t="s">
        <v>100</v>
      </c>
      <c r="O157" t="s">
        <v>643</v>
      </c>
      <c r="P157" t="s">
        <v>134</v>
      </c>
      <c r="Q157" t="s">
        <v>134</v>
      </c>
      <c r="R157" t="s">
        <v>75</v>
      </c>
      <c r="S157" t="s">
        <v>75</v>
      </c>
      <c r="T157" t="s">
        <v>76</v>
      </c>
      <c r="U157" t="s">
        <v>75</v>
      </c>
      <c r="V157" t="s">
        <v>75</v>
      </c>
      <c r="W157" t="s">
        <v>75</v>
      </c>
      <c r="X157" t="s">
        <v>111</v>
      </c>
      <c r="Y157" t="s">
        <v>111</v>
      </c>
      <c r="Z157" t="s">
        <v>77</v>
      </c>
      <c r="AA157" t="s">
        <v>235</v>
      </c>
      <c r="AB157" t="s">
        <v>134</v>
      </c>
      <c r="AC157" t="s">
        <v>113</v>
      </c>
      <c r="AD157" t="s">
        <v>235</v>
      </c>
      <c r="AE157" t="s">
        <v>79</v>
      </c>
      <c r="AF157" t="s">
        <v>75</v>
      </c>
      <c r="AG157" t="s">
        <v>204</v>
      </c>
      <c r="AH157" t="s">
        <v>76</v>
      </c>
      <c r="AI157" t="s">
        <v>75</v>
      </c>
      <c r="AK157" t="s">
        <v>115</v>
      </c>
      <c r="AL157" t="s">
        <v>115</v>
      </c>
      <c r="AM157" t="s">
        <v>116</v>
      </c>
      <c r="AN157">
        <v>12</v>
      </c>
      <c r="AO157">
        <v>4</v>
      </c>
      <c r="AP157">
        <v>4</v>
      </c>
      <c r="AQ157" t="s">
        <v>644</v>
      </c>
      <c r="AR157" t="s">
        <v>472</v>
      </c>
      <c r="AS157" t="s">
        <v>637</v>
      </c>
      <c r="AT157" t="s">
        <v>76</v>
      </c>
      <c r="AU157" t="s">
        <v>75</v>
      </c>
      <c r="AV157">
        <v>0.81</v>
      </c>
      <c r="AW157">
        <v>0.8</v>
      </c>
      <c r="AX157">
        <v>0.8</v>
      </c>
      <c r="AY157">
        <v>0.81</v>
      </c>
      <c r="AZ157">
        <v>0.8</v>
      </c>
      <c r="BA157">
        <v>0.8</v>
      </c>
      <c r="BB157" t="s">
        <v>79</v>
      </c>
      <c r="BC157">
        <v>0.81</v>
      </c>
      <c r="BD157">
        <v>0.8</v>
      </c>
      <c r="BE157">
        <v>0</v>
      </c>
      <c r="BF157">
        <v>4.3299999999999998E-2</v>
      </c>
      <c r="BG157">
        <v>0</v>
      </c>
      <c r="BH157">
        <v>7.22E-2</v>
      </c>
      <c r="BI157">
        <v>4.3292252000000003E-2</v>
      </c>
      <c r="BJ157">
        <v>0</v>
      </c>
      <c r="BK157" t="s">
        <v>75</v>
      </c>
    </row>
    <row r="158" spans="1:65" x14ac:dyDescent="0.55000000000000004">
      <c r="A158" t="s">
        <v>639</v>
      </c>
      <c r="B158">
        <v>31</v>
      </c>
      <c r="C158">
        <v>1</v>
      </c>
      <c r="D158">
        <v>5</v>
      </c>
      <c r="E158">
        <v>1</v>
      </c>
      <c r="F158">
        <v>31.1</v>
      </c>
      <c r="G158" t="s">
        <v>652</v>
      </c>
      <c r="H158" t="s">
        <v>641</v>
      </c>
      <c r="I158" t="s">
        <v>642</v>
      </c>
      <c r="J158">
        <v>2023</v>
      </c>
      <c r="K158" t="s">
        <v>556</v>
      </c>
      <c r="L158" t="s">
        <v>597</v>
      </c>
      <c r="M158" t="s">
        <v>99</v>
      </c>
      <c r="N158" t="s">
        <v>100</v>
      </c>
      <c r="O158" t="s">
        <v>653</v>
      </c>
      <c r="P158" t="s">
        <v>134</v>
      </c>
      <c r="Q158" t="s">
        <v>134</v>
      </c>
      <c r="R158" t="s">
        <v>75</v>
      </c>
      <c r="S158" t="s">
        <v>75</v>
      </c>
      <c r="T158" t="s">
        <v>76</v>
      </c>
      <c r="U158" t="s">
        <v>75</v>
      </c>
      <c r="V158" t="s">
        <v>75</v>
      </c>
      <c r="W158" t="s">
        <v>75</v>
      </c>
      <c r="X158" t="s">
        <v>111</v>
      </c>
      <c r="Y158" t="s">
        <v>111</v>
      </c>
      <c r="Z158" t="s">
        <v>77</v>
      </c>
      <c r="AA158" t="s">
        <v>235</v>
      </c>
      <c r="AB158" t="s">
        <v>134</v>
      </c>
      <c r="AC158" t="s">
        <v>113</v>
      </c>
      <c r="AD158" t="s">
        <v>235</v>
      </c>
      <c r="AE158" t="s">
        <v>79</v>
      </c>
      <c r="AF158" t="s">
        <v>75</v>
      </c>
      <c r="AG158" t="s">
        <v>614</v>
      </c>
      <c r="AH158" t="s">
        <v>75</v>
      </c>
      <c r="AI158" t="s">
        <v>75</v>
      </c>
      <c r="AK158" t="s">
        <v>115</v>
      </c>
      <c r="AL158" t="s">
        <v>115</v>
      </c>
      <c r="AM158" t="s">
        <v>116</v>
      </c>
      <c r="AN158">
        <v>12</v>
      </c>
      <c r="AO158">
        <v>8</v>
      </c>
      <c r="AP158">
        <v>8</v>
      </c>
      <c r="AQ158" t="s">
        <v>644</v>
      </c>
      <c r="AR158" t="s">
        <v>472</v>
      </c>
      <c r="AS158" t="s">
        <v>637</v>
      </c>
      <c r="AT158" t="s">
        <v>76</v>
      </c>
      <c r="AU158" t="s">
        <v>75</v>
      </c>
      <c r="AV158">
        <v>0.77</v>
      </c>
      <c r="AW158">
        <v>0.8</v>
      </c>
      <c r="AX158">
        <v>0.81</v>
      </c>
      <c r="AY158">
        <v>0.77</v>
      </c>
      <c r="AZ158">
        <v>0.8</v>
      </c>
      <c r="BA158">
        <v>0.81</v>
      </c>
      <c r="BB158" t="s">
        <v>86</v>
      </c>
      <c r="BC158">
        <v>0.8</v>
      </c>
      <c r="BD158">
        <v>0.77</v>
      </c>
      <c r="BE158">
        <v>1</v>
      </c>
      <c r="BF158">
        <v>3.0599999999999999E-2</v>
      </c>
      <c r="BG158">
        <v>0</v>
      </c>
      <c r="BH158">
        <v>3.0599999999999999E-2</v>
      </c>
      <c r="BI158">
        <v>0</v>
      </c>
      <c r="BJ158">
        <v>3.0599999999999999E-2</v>
      </c>
      <c r="BK158" t="s">
        <v>75</v>
      </c>
    </row>
    <row r="159" spans="1:65" x14ac:dyDescent="0.55000000000000004">
      <c r="A159" t="s">
        <v>639</v>
      </c>
      <c r="B159">
        <v>31</v>
      </c>
      <c r="C159">
        <v>1</v>
      </c>
      <c r="D159">
        <v>6</v>
      </c>
      <c r="E159">
        <v>1</v>
      </c>
      <c r="F159">
        <v>31.1</v>
      </c>
      <c r="G159" t="s">
        <v>654</v>
      </c>
      <c r="H159" t="s">
        <v>641</v>
      </c>
      <c r="I159" t="s">
        <v>642</v>
      </c>
      <c r="J159">
        <v>2023</v>
      </c>
      <c r="K159" t="s">
        <v>556</v>
      </c>
      <c r="L159" t="s">
        <v>597</v>
      </c>
      <c r="M159" t="s">
        <v>99</v>
      </c>
      <c r="N159" t="s">
        <v>100</v>
      </c>
      <c r="O159" t="s">
        <v>653</v>
      </c>
      <c r="P159" t="s">
        <v>134</v>
      </c>
      <c r="Q159" t="s">
        <v>134</v>
      </c>
      <c r="R159" t="s">
        <v>75</v>
      </c>
      <c r="S159" t="s">
        <v>75</v>
      </c>
      <c r="T159" t="s">
        <v>76</v>
      </c>
      <c r="U159" t="s">
        <v>75</v>
      </c>
      <c r="V159" t="s">
        <v>75</v>
      </c>
      <c r="W159" t="s">
        <v>75</v>
      </c>
      <c r="X159" t="s">
        <v>111</v>
      </c>
      <c r="Y159" t="s">
        <v>111</v>
      </c>
      <c r="Z159" t="s">
        <v>77</v>
      </c>
      <c r="AA159" t="s">
        <v>235</v>
      </c>
      <c r="AB159" t="s">
        <v>134</v>
      </c>
      <c r="AC159" t="s">
        <v>113</v>
      </c>
      <c r="AD159" t="s">
        <v>235</v>
      </c>
      <c r="AE159" t="s">
        <v>79</v>
      </c>
      <c r="AF159" t="s">
        <v>75</v>
      </c>
      <c r="AG159" t="s">
        <v>616</v>
      </c>
      <c r="AH159" t="s">
        <v>75</v>
      </c>
      <c r="AI159" t="s">
        <v>75</v>
      </c>
      <c r="AK159" t="s">
        <v>115</v>
      </c>
      <c r="AL159" t="s">
        <v>115</v>
      </c>
      <c r="AM159" t="s">
        <v>116</v>
      </c>
      <c r="AN159">
        <v>12</v>
      </c>
      <c r="AO159">
        <v>8</v>
      </c>
      <c r="AP159">
        <v>8</v>
      </c>
      <c r="AQ159" t="s">
        <v>644</v>
      </c>
      <c r="AR159" t="s">
        <v>472</v>
      </c>
      <c r="AS159" t="s">
        <v>637</v>
      </c>
      <c r="AT159" t="s">
        <v>76</v>
      </c>
      <c r="AU159" t="s">
        <v>75</v>
      </c>
      <c r="AV159">
        <v>0.81</v>
      </c>
      <c r="AW159">
        <v>0.8</v>
      </c>
      <c r="AX159">
        <v>0.85</v>
      </c>
      <c r="AY159">
        <v>0.81</v>
      </c>
      <c r="AZ159">
        <v>0.8</v>
      </c>
      <c r="BA159">
        <v>0.85</v>
      </c>
      <c r="BB159" t="s">
        <v>79</v>
      </c>
      <c r="BC159">
        <v>0.81</v>
      </c>
      <c r="BD159">
        <v>0.8</v>
      </c>
      <c r="BE159">
        <v>1</v>
      </c>
      <c r="BF159">
        <v>4.3299999999999998E-2</v>
      </c>
      <c r="BG159">
        <v>0</v>
      </c>
      <c r="BH159">
        <v>7.22E-2</v>
      </c>
      <c r="BI159">
        <v>4.3292252000000003E-2</v>
      </c>
      <c r="BJ159">
        <v>0</v>
      </c>
      <c r="BK159" t="s">
        <v>75</v>
      </c>
    </row>
    <row r="160" spans="1:65" x14ac:dyDescent="0.55000000000000004">
      <c r="A160" t="s">
        <v>639</v>
      </c>
      <c r="B160">
        <v>31</v>
      </c>
      <c r="C160">
        <v>1</v>
      </c>
      <c r="D160">
        <v>7</v>
      </c>
      <c r="E160">
        <v>1</v>
      </c>
      <c r="F160">
        <v>31.1</v>
      </c>
      <c r="G160" t="s">
        <v>655</v>
      </c>
      <c r="H160" t="s">
        <v>641</v>
      </c>
      <c r="I160" t="s">
        <v>642</v>
      </c>
      <c r="J160">
        <v>2023</v>
      </c>
      <c r="K160" t="s">
        <v>556</v>
      </c>
      <c r="L160" t="s">
        <v>597</v>
      </c>
      <c r="M160" t="s">
        <v>99</v>
      </c>
      <c r="N160" t="s">
        <v>100</v>
      </c>
      <c r="O160" t="s">
        <v>653</v>
      </c>
      <c r="P160" t="s">
        <v>134</v>
      </c>
      <c r="Q160" t="s">
        <v>134</v>
      </c>
      <c r="R160" t="s">
        <v>75</v>
      </c>
      <c r="S160" t="s">
        <v>75</v>
      </c>
      <c r="T160" t="s">
        <v>76</v>
      </c>
      <c r="U160" t="s">
        <v>75</v>
      </c>
      <c r="V160" t="s">
        <v>75</v>
      </c>
      <c r="W160" t="s">
        <v>75</v>
      </c>
      <c r="X160" t="s">
        <v>111</v>
      </c>
      <c r="Y160" t="s">
        <v>111</v>
      </c>
      <c r="Z160" t="s">
        <v>77</v>
      </c>
      <c r="AA160" t="s">
        <v>235</v>
      </c>
      <c r="AB160" t="s">
        <v>134</v>
      </c>
      <c r="AC160" t="s">
        <v>113</v>
      </c>
      <c r="AD160" t="s">
        <v>235</v>
      </c>
      <c r="AE160" t="s">
        <v>79</v>
      </c>
      <c r="AF160" t="s">
        <v>75</v>
      </c>
      <c r="AG160" t="s">
        <v>619</v>
      </c>
      <c r="AH160" t="s">
        <v>76</v>
      </c>
      <c r="AI160" t="s">
        <v>75</v>
      </c>
      <c r="AK160" t="s">
        <v>115</v>
      </c>
      <c r="AL160" t="s">
        <v>115</v>
      </c>
      <c r="AM160" t="s">
        <v>116</v>
      </c>
      <c r="AN160">
        <v>12</v>
      </c>
      <c r="AO160">
        <v>8</v>
      </c>
      <c r="AP160">
        <v>8</v>
      </c>
      <c r="AQ160" t="s">
        <v>644</v>
      </c>
      <c r="AR160" t="s">
        <v>472</v>
      </c>
      <c r="AS160" t="s">
        <v>637</v>
      </c>
      <c r="AT160" t="s">
        <v>76</v>
      </c>
      <c r="AU160" t="s">
        <v>75</v>
      </c>
      <c r="AV160">
        <v>0.77</v>
      </c>
      <c r="AW160">
        <v>0.8</v>
      </c>
      <c r="AX160">
        <v>0.83</v>
      </c>
      <c r="AY160">
        <v>0.77</v>
      </c>
      <c r="AZ160">
        <v>0.8</v>
      </c>
      <c r="BA160">
        <v>0.83</v>
      </c>
      <c r="BB160" t="s">
        <v>86</v>
      </c>
      <c r="BC160">
        <v>0.8</v>
      </c>
      <c r="BD160">
        <v>0.77</v>
      </c>
      <c r="BE160">
        <v>1</v>
      </c>
      <c r="BF160">
        <v>3.0599999999999999E-2</v>
      </c>
      <c r="BG160">
        <v>0</v>
      </c>
      <c r="BH160">
        <v>3.0599999999999999E-2</v>
      </c>
      <c r="BI160">
        <v>0</v>
      </c>
      <c r="BJ160">
        <v>3.0599999999999999E-2</v>
      </c>
      <c r="BK160" t="s">
        <v>75</v>
      </c>
    </row>
    <row r="161" spans="1:65" x14ac:dyDescent="0.55000000000000004">
      <c r="A161" t="s">
        <v>639</v>
      </c>
      <c r="B161">
        <v>31</v>
      </c>
      <c r="C161">
        <v>1</v>
      </c>
      <c r="D161">
        <v>8</v>
      </c>
      <c r="E161">
        <v>1</v>
      </c>
      <c r="F161">
        <v>31.1</v>
      </c>
      <c r="G161" t="s">
        <v>656</v>
      </c>
      <c r="H161" t="s">
        <v>641</v>
      </c>
      <c r="I161" t="s">
        <v>642</v>
      </c>
      <c r="J161">
        <v>2023</v>
      </c>
      <c r="K161" t="s">
        <v>556</v>
      </c>
      <c r="L161" t="s">
        <v>597</v>
      </c>
      <c r="M161" t="s">
        <v>99</v>
      </c>
      <c r="N161" t="s">
        <v>100</v>
      </c>
      <c r="O161" t="s">
        <v>653</v>
      </c>
      <c r="P161" t="s">
        <v>134</v>
      </c>
      <c r="Q161" t="s">
        <v>134</v>
      </c>
      <c r="R161" t="s">
        <v>75</v>
      </c>
      <c r="S161" t="s">
        <v>75</v>
      </c>
      <c r="T161" t="s">
        <v>76</v>
      </c>
      <c r="U161" t="s">
        <v>75</v>
      </c>
      <c r="V161" t="s">
        <v>75</v>
      </c>
      <c r="W161" t="s">
        <v>75</v>
      </c>
      <c r="X161" t="s">
        <v>111</v>
      </c>
      <c r="Y161" t="s">
        <v>111</v>
      </c>
      <c r="Z161" t="s">
        <v>77</v>
      </c>
      <c r="AA161" t="s">
        <v>235</v>
      </c>
      <c r="AB161" t="s">
        <v>134</v>
      </c>
      <c r="AC161" t="s">
        <v>113</v>
      </c>
      <c r="AD161" t="s">
        <v>235</v>
      </c>
      <c r="AE161" t="s">
        <v>79</v>
      </c>
      <c r="AF161" t="s">
        <v>75</v>
      </c>
      <c r="AG161" t="s">
        <v>621</v>
      </c>
      <c r="AH161" t="s">
        <v>76</v>
      </c>
      <c r="AI161" t="s">
        <v>75</v>
      </c>
      <c r="AK161" t="s">
        <v>115</v>
      </c>
      <c r="AL161" t="s">
        <v>115</v>
      </c>
      <c r="AM161" t="s">
        <v>116</v>
      </c>
      <c r="AN161">
        <v>12</v>
      </c>
      <c r="AO161">
        <v>8</v>
      </c>
      <c r="AP161">
        <v>8</v>
      </c>
      <c r="AQ161" t="s">
        <v>644</v>
      </c>
      <c r="AR161" t="s">
        <v>472</v>
      </c>
      <c r="AS161" t="s">
        <v>637</v>
      </c>
      <c r="AT161" t="s">
        <v>76</v>
      </c>
      <c r="AU161" t="s">
        <v>75</v>
      </c>
      <c r="AV161">
        <v>0.81</v>
      </c>
      <c r="AW161">
        <v>0.8</v>
      </c>
      <c r="AX161">
        <v>0.86</v>
      </c>
      <c r="AY161">
        <v>0.81</v>
      </c>
      <c r="AZ161">
        <v>0.8</v>
      </c>
      <c r="BA161">
        <v>0.86</v>
      </c>
      <c r="BB161" t="s">
        <v>79</v>
      </c>
      <c r="BC161">
        <v>0.81</v>
      </c>
      <c r="BD161">
        <v>0.8</v>
      </c>
      <c r="BE161">
        <v>1</v>
      </c>
      <c r="BF161">
        <v>4.3299999999999998E-2</v>
      </c>
      <c r="BG161">
        <v>0</v>
      </c>
      <c r="BH161">
        <v>2.8899999999999999E-2</v>
      </c>
      <c r="BI161">
        <v>4.3292252000000003E-2</v>
      </c>
      <c r="BJ161">
        <v>0</v>
      </c>
      <c r="BK161" t="s">
        <v>75</v>
      </c>
      <c r="BL161" t="s">
        <v>657</v>
      </c>
    </row>
    <row r="162" spans="1:65" x14ac:dyDescent="0.55000000000000004">
      <c r="A162" t="s">
        <v>639</v>
      </c>
      <c r="B162">
        <v>31</v>
      </c>
      <c r="C162">
        <v>2</v>
      </c>
      <c r="D162">
        <v>1</v>
      </c>
      <c r="E162">
        <v>1</v>
      </c>
      <c r="F162">
        <v>31.2</v>
      </c>
      <c r="G162" t="s">
        <v>658</v>
      </c>
      <c r="H162" t="s">
        <v>641</v>
      </c>
      <c r="I162" t="s">
        <v>642</v>
      </c>
      <c r="J162">
        <v>2023</v>
      </c>
      <c r="K162" t="s">
        <v>556</v>
      </c>
      <c r="L162" t="s">
        <v>597</v>
      </c>
      <c r="M162" t="s">
        <v>99</v>
      </c>
      <c r="N162" t="s">
        <v>100</v>
      </c>
      <c r="O162" t="s">
        <v>643</v>
      </c>
      <c r="P162" t="s">
        <v>134</v>
      </c>
      <c r="Q162" t="s">
        <v>134</v>
      </c>
      <c r="R162" t="s">
        <v>75</v>
      </c>
      <c r="S162" t="s">
        <v>75</v>
      </c>
      <c r="T162" t="s">
        <v>76</v>
      </c>
      <c r="U162" t="s">
        <v>75</v>
      </c>
      <c r="V162" t="s">
        <v>75</v>
      </c>
      <c r="W162" t="s">
        <v>75</v>
      </c>
      <c r="X162" t="s">
        <v>111</v>
      </c>
      <c r="Y162" t="s">
        <v>111</v>
      </c>
      <c r="Z162" t="s">
        <v>77</v>
      </c>
      <c r="AA162" t="s">
        <v>235</v>
      </c>
      <c r="AB162" t="s">
        <v>134</v>
      </c>
      <c r="AC162" t="s">
        <v>111</v>
      </c>
      <c r="AD162" t="s">
        <v>235</v>
      </c>
      <c r="AE162" t="s">
        <v>79</v>
      </c>
      <c r="AF162" t="s">
        <v>75</v>
      </c>
      <c r="AG162" t="s">
        <v>589</v>
      </c>
      <c r="AH162" t="s">
        <v>75</v>
      </c>
      <c r="AI162" t="s">
        <v>75</v>
      </c>
      <c r="AK162" t="s">
        <v>115</v>
      </c>
      <c r="AL162" t="s">
        <v>115</v>
      </c>
      <c r="AM162" t="s">
        <v>116</v>
      </c>
      <c r="AN162">
        <v>44</v>
      </c>
      <c r="AO162">
        <v>25</v>
      </c>
      <c r="AP162">
        <v>25</v>
      </c>
      <c r="AQ162" t="s">
        <v>659</v>
      </c>
      <c r="AR162" t="s">
        <v>472</v>
      </c>
      <c r="AS162" t="s">
        <v>637</v>
      </c>
      <c r="AT162" t="s">
        <v>76</v>
      </c>
      <c r="AU162" t="s">
        <v>75</v>
      </c>
      <c r="AV162">
        <v>0.45</v>
      </c>
      <c r="AW162">
        <v>0.7</v>
      </c>
      <c r="AX162">
        <v>0.63</v>
      </c>
      <c r="AY162">
        <v>0.45</v>
      </c>
      <c r="AZ162">
        <v>0.7</v>
      </c>
      <c r="BA162">
        <v>0.63</v>
      </c>
      <c r="BB162" t="s">
        <v>86</v>
      </c>
      <c r="BC162">
        <v>0.7</v>
      </c>
      <c r="BD162">
        <v>0.45</v>
      </c>
      <c r="BE162">
        <v>0</v>
      </c>
      <c r="BF162">
        <v>0.2041</v>
      </c>
      <c r="BG162">
        <v>0</v>
      </c>
      <c r="BH162">
        <v>0.12759999999999999</v>
      </c>
      <c r="BI162">
        <v>0</v>
      </c>
      <c r="BJ162">
        <v>0.2041</v>
      </c>
      <c r="BK162" t="s">
        <v>75</v>
      </c>
      <c r="BL162" t="s">
        <v>660</v>
      </c>
    </row>
    <row r="163" spans="1:65" x14ac:dyDescent="0.55000000000000004">
      <c r="A163" t="s">
        <v>639</v>
      </c>
      <c r="B163">
        <v>31</v>
      </c>
      <c r="C163">
        <v>2</v>
      </c>
      <c r="D163">
        <v>2</v>
      </c>
      <c r="E163">
        <v>1</v>
      </c>
      <c r="F163">
        <v>31.2</v>
      </c>
      <c r="G163" t="s">
        <v>661</v>
      </c>
      <c r="H163" t="s">
        <v>641</v>
      </c>
      <c r="I163" t="s">
        <v>642</v>
      </c>
      <c r="J163">
        <v>2023</v>
      </c>
      <c r="K163" t="s">
        <v>556</v>
      </c>
      <c r="L163" t="s">
        <v>597</v>
      </c>
      <c r="M163" t="s">
        <v>99</v>
      </c>
      <c r="N163" t="s">
        <v>100</v>
      </c>
      <c r="O163" t="s">
        <v>653</v>
      </c>
      <c r="P163" t="s">
        <v>134</v>
      </c>
      <c r="Q163" t="s">
        <v>134</v>
      </c>
      <c r="R163" t="s">
        <v>75</v>
      </c>
      <c r="S163" t="s">
        <v>75</v>
      </c>
      <c r="T163" t="s">
        <v>76</v>
      </c>
      <c r="U163" t="s">
        <v>75</v>
      </c>
      <c r="V163" t="s">
        <v>75</v>
      </c>
      <c r="W163" t="s">
        <v>75</v>
      </c>
      <c r="X163" t="s">
        <v>111</v>
      </c>
      <c r="Y163" t="s">
        <v>111</v>
      </c>
      <c r="Z163" t="s">
        <v>77</v>
      </c>
      <c r="AA163" t="s">
        <v>235</v>
      </c>
      <c r="AB163" t="s">
        <v>134</v>
      </c>
      <c r="AC163" t="s">
        <v>111</v>
      </c>
      <c r="AD163" t="s">
        <v>235</v>
      </c>
      <c r="AE163" t="s">
        <v>79</v>
      </c>
      <c r="AF163" t="s">
        <v>75</v>
      </c>
      <c r="AG163" t="s">
        <v>624</v>
      </c>
      <c r="AH163" t="s">
        <v>75</v>
      </c>
      <c r="AI163" t="s">
        <v>75</v>
      </c>
      <c r="AK163" t="s">
        <v>115</v>
      </c>
      <c r="AL163" t="s">
        <v>115</v>
      </c>
      <c r="AM163" t="s">
        <v>116</v>
      </c>
      <c r="AN163">
        <v>44</v>
      </c>
      <c r="AO163">
        <v>19</v>
      </c>
      <c r="AP163">
        <v>19</v>
      </c>
      <c r="AQ163" t="s">
        <v>662</v>
      </c>
      <c r="AR163" t="s">
        <v>472</v>
      </c>
      <c r="AS163" t="s">
        <v>637</v>
      </c>
      <c r="AT163" t="s">
        <v>76</v>
      </c>
      <c r="AU163" t="s">
        <v>75</v>
      </c>
      <c r="AV163">
        <v>0.66</v>
      </c>
      <c r="AW163">
        <v>0.7</v>
      </c>
      <c r="AX163">
        <v>0.68</v>
      </c>
      <c r="AY163">
        <v>0.66</v>
      </c>
      <c r="AZ163">
        <v>0.7</v>
      </c>
      <c r="BA163">
        <v>0.68</v>
      </c>
      <c r="BB163" t="s">
        <v>86</v>
      </c>
      <c r="BC163">
        <v>0.7</v>
      </c>
      <c r="BD163">
        <v>0.66</v>
      </c>
      <c r="BE163">
        <v>0</v>
      </c>
      <c r="BF163">
        <v>0.11119999999999999</v>
      </c>
      <c r="BG163">
        <v>0</v>
      </c>
      <c r="BH163">
        <v>0.11119999999999999</v>
      </c>
      <c r="BI163">
        <v>0</v>
      </c>
      <c r="BJ163">
        <v>0.11119999999999999</v>
      </c>
      <c r="BK163" t="s">
        <v>75</v>
      </c>
      <c r="BL163" t="s">
        <v>663</v>
      </c>
    </row>
    <row r="164" spans="1:65" x14ac:dyDescent="0.55000000000000004">
      <c r="A164" t="s">
        <v>639</v>
      </c>
      <c r="B164">
        <v>31</v>
      </c>
      <c r="C164">
        <v>2</v>
      </c>
      <c r="D164">
        <v>3</v>
      </c>
      <c r="E164">
        <v>1</v>
      </c>
      <c r="F164">
        <v>31.2</v>
      </c>
      <c r="G164" t="s">
        <v>664</v>
      </c>
      <c r="H164" t="s">
        <v>641</v>
      </c>
      <c r="I164" t="s">
        <v>642</v>
      </c>
      <c r="J164">
        <v>2023</v>
      </c>
      <c r="K164" t="s">
        <v>556</v>
      </c>
      <c r="L164" t="s">
        <v>597</v>
      </c>
      <c r="M164" t="s">
        <v>99</v>
      </c>
      <c r="N164" t="s">
        <v>100</v>
      </c>
      <c r="O164" t="s">
        <v>643</v>
      </c>
      <c r="P164" t="s">
        <v>134</v>
      </c>
      <c r="Q164" t="s">
        <v>134</v>
      </c>
      <c r="R164" t="s">
        <v>75</v>
      </c>
      <c r="S164" t="s">
        <v>75</v>
      </c>
      <c r="T164" t="s">
        <v>76</v>
      </c>
      <c r="U164" t="s">
        <v>75</v>
      </c>
      <c r="V164" t="s">
        <v>75</v>
      </c>
      <c r="W164" t="s">
        <v>75</v>
      </c>
      <c r="X164" t="s">
        <v>111</v>
      </c>
      <c r="Y164" t="s">
        <v>111</v>
      </c>
      <c r="Z164" t="s">
        <v>77</v>
      </c>
      <c r="AA164" t="s">
        <v>235</v>
      </c>
      <c r="AB164" t="s">
        <v>134</v>
      </c>
      <c r="AC164" t="s">
        <v>111</v>
      </c>
      <c r="AD164" t="s">
        <v>235</v>
      </c>
      <c r="AE164" t="s">
        <v>79</v>
      </c>
      <c r="AF164" t="s">
        <v>75</v>
      </c>
      <c r="AG164" t="s">
        <v>592</v>
      </c>
      <c r="AH164" t="s">
        <v>76</v>
      </c>
      <c r="AI164" t="s">
        <v>75</v>
      </c>
      <c r="AJ164" t="s">
        <v>110</v>
      </c>
      <c r="AK164" t="s">
        <v>115</v>
      </c>
      <c r="AL164" t="s">
        <v>115</v>
      </c>
      <c r="AM164" t="s">
        <v>116</v>
      </c>
      <c r="AN164">
        <v>44</v>
      </c>
      <c r="AO164">
        <v>25</v>
      </c>
      <c r="AP164">
        <v>25</v>
      </c>
      <c r="AQ164" t="s">
        <v>659</v>
      </c>
      <c r="AR164" t="s">
        <v>472</v>
      </c>
      <c r="AS164" t="s">
        <v>637</v>
      </c>
      <c r="AT164" t="s">
        <v>76</v>
      </c>
      <c r="AU164" t="s">
        <v>75</v>
      </c>
      <c r="AV164">
        <v>0.45</v>
      </c>
      <c r="AW164">
        <v>0.7</v>
      </c>
      <c r="AX164">
        <v>0.67</v>
      </c>
      <c r="AY164">
        <v>0.45</v>
      </c>
      <c r="AZ164">
        <v>0.7</v>
      </c>
      <c r="BA164">
        <v>0.67</v>
      </c>
      <c r="BB164" t="s">
        <v>86</v>
      </c>
      <c r="BC164">
        <v>0.7</v>
      </c>
      <c r="BD164">
        <v>0.45</v>
      </c>
      <c r="BE164">
        <v>0</v>
      </c>
      <c r="BF164">
        <v>0.2041</v>
      </c>
      <c r="BG164">
        <v>0</v>
      </c>
      <c r="BH164">
        <v>0.12759999999999999</v>
      </c>
      <c r="BI164">
        <v>0</v>
      </c>
      <c r="BJ164">
        <v>0.2041</v>
      </c>
      <c r="BK164" t="s">
        <v>75</v>
      </c>
      <c r="BL164" t="s">
        <v>665</v>
      </c>
    </row>
    <row r="165" spans="1:65" x14ac:dyDescent="0.55000000000000004">
      <c r="A165" t="s">
        <v>639</v>
      </c>
      <c r="B165">
        <v>31</v>
      </c>
      <c r="C165">
        <v>2</v>
      </c>
      <c r="D165">
        <v>4</v>
      </c>
      <c r="E165">
        <v>1</v>
      </c>
      <c r="F165">
        <v>31.2</v>
      </c>
      <c r="G165" t="s">
        <v>666</v>
      </c>
      <c r="H165" t="s">
        <v>641</v>
      </c>
      <c r="I165" t="s">
        <v>642</v>
      </c>
      <c r="J165">
        <v>2023</v>
      </c>
      <c r="K165" t="s">
        <v>556</v>
      </c>
      <c r="L165" t="s">
        <v>597</v>
      </c>
      <c r="M165" t="s">
        <v>99</v>
      </c>
      <c r="N165" t="s">
        <v>100</v>
      </c>
      <c r="O165" t="s">
        <v>653</v>
      </c>
      <c r="P165" t="s">
        <v>134</v>
      </c>
      <c r="Q165" t="s">
        <v>134</v>
      </c>
      <c r="R165" t="s">
        <v>75</v>
      </c>
      <c r="S165" t="s">
        <v>75</v>
      </c>
      <c r="T165" t="s">
        <v>76</v>
      </c>
      <c r="U165" t="s">
        <v>75</v>
      </c>
      <c r="V165" t="s">
        <v>75</v>
      </c>
      <c r="W165" t="s">
        <v>75</v>
      </c>
      <c r="X165" t="s">
        <v>111</v>
      </c>
      <c r="Y165" t="s">
        <v>111</v>
      </c>
      <c r="Z165" t="s">
        <v>77</v>
      </c>
      <c r="AA165" t="s">
        <v>235</v>
      </c>
      <c r="AB165" t="s">
        <v>134</v>
      </c>
      <c r="AC165" t="s">
        <v>111</v>
      </c>
      <c r="AD165" t="s">
        <v>235</v>
      </c>
      <c r="AE165" t="s">
        <v>79</v>
      </c>
      <c r="AF165" t="s">
        <v>75</v>
      </c>
      <c r="AG165" t="s">
        <v>626</v>
      </c>
      <c r="AH165" t="s">
        <v>76</v>
      </c>
      <c r="AI165" t="s">
        <v>75</v>
      </c>
      <c r="AJ165" t="s">
        <v>110</v>
      </c>
      <c r="AK165" t="s">
        <v>115</v>
      </c>
      <c r="AL165" t="s">
        <v>115</v>
      </c>
      <c r="AM165" t="s">
        <v>116</v>
      </c>
      <c r="AN165">
        <v>44</v>
      </c>
      <c r="AO165">
        <v>19</v>
      </c>
      <c r="AP165">
        <v>19</v>
      </c>
      <c r="AQ165" t="s">
        <v>662</v>
      </c>
      <c r="AR165" t="s">
        <v>472</v>
      </c>
      <c r="AS165" t="s">
        <v>637</v>
      </c>
      <c r="AT165" t="s">
        <v>76</v>
      </c>
      <c r="AU165" t="s">
        <v>75</v>
      </c>
      <c r="AV165">
        <v>0.66</v>
      </c>
      <c r="AW165">
        <v>0.7</v>
      </c>
      <c r="AX165">
        <v>0.69</v>
      </c>
      <c r="AY165">
        <v>0.66</v>
      </c>
      <c r="AZ165">
        <v>0.7</v>
      </c>
      <c r="BA165">
        <v>0.69</v>
      </c>
      <c r="BB165" t="s">
        <v>86</v>
      </c>
      <c r="BC165">
        <v>0.7</v>
      </c>
      <c r="BD165">
        <v>0.66</v>
      </c>
      <c r="BE165">
        <v>0</v>
      </c>
      <c r="BF165">
        <v>0.11119999999999999</v>
      </c>
      <c r="BG165">
        <v>0</v>
      </c>
      <c r="BH165">
        <v>8.8999999999999996E-2</v>
      </c>
      <c r="BI165">
        <v>0</v>
      </c>
      <c r="BJ165">
        <v>0.11119999999999999</v>
      </c>
      <c r="BK165" t="s">
        <v>75</v>
      </c>
      <c r="BL165" t="s">
        <v>667</v>
      </c>
    </row>
    <row r="166" spans="1:65" x14ac:dyDescent="0.55000000000000004">
      <c r="A166" t="s">
        <v>639</v>
      </c>
      <c r="B166">
        <v>31</v>
      </c>
      <c r="C166">
        <v>2</v>
      </c>
      <c r="D166">
        <v>5</v>
      </c>
      <c r="E166">
        <v>1</v>
      </c>
      <c r="F166">
        <v>31.2</v>
      </c>
      <c r="G166" t="s">
        <v>668</v>
      </c>
      <c r="H166" t="s">
        <v>641</v>
      </c>
      <c r="I166" t="s">
        <v>642</v>
      </c>
      <c r="J166">
        <v>2023</v>
      </c>
      <c r="K166" t="s">
        <v>556</v>
      </c>
      <c r="L166" t="s">
        <v>597</v>
      </c>
      <c r="M166" t="s">
        <v>99</v>
      </c>
      <c r="N166" t="s">
        <v>100</v>
      </c>
      <c r="O166" t="s">
        <v>643</v>
      </c>
      <c r="P166" t="s">
        <v>134</v>
      </c>
      <c r="Q166" t="s">
        <v>134</v>
      </c>
      <c r="R166" t="s">
        <v>75</v>
      </c>
      <c r="S166" t="s">
        <v>75</v>
      </c>
      <c r="T166" t="s">
        <v>76</v>
      </c>
      <c r="U166" t="s">
        <v>75</v>
      </c>
      <c r="V166" t="s">
        <v>75</v>
      </c>
      <c r="W166" t="s">
        <v>75</v>
      </c>
      <c r="X166" t="s">
        <v>111</v>
      </c>
      <c r="Y166" t="s">
        <v>111</v>
      </c>
      <c r="Z166" t="s">
        <v>77</v>
      </c>
      <c r="AA166" t="s">
        <v>235</v>
      </c>
      <c r="AB166" t="s">
        <v>134</v>
      </c>
      <c r="AC166" t="s">
        <v>111</v>
      </c>
      <c r="AD166" t="s">
        <v>235</v>
      </c>
      <c r="AE166" t="s">
        <v>79</v>
      </c>
      <c r="AF166" t="s">
        <v>75</v>
      </c>
      <c r="AG166" t="s">
        <v>601</v>
      </c>
      <c r="AH166" t="s">
        <v>75</v>
      </c>
      <c r="AI166" t="s">
        <v>75</v>
      </c>
      <c r="AK166" t="s">
        <v>115</v>
      </c>
      <c r="AL166" t="s">
        <v>115</v>
      </c>
      <c r="AM166" t="s">
        <v>116</v>
      </c>
      <c r="AN166">
        <v>44</v>
      </c>
      <c r="AO166">
        <v>25</v>
      </c>
      <c r="AP166">
        <v>25</v>
      </c>
      <c r="AQ166" t="s">
        <v>659</v>
      </c>
      <c r="AR166" t="s">
        <v>472</v>
      </c>
      <c r="AS166" t="s">
        <v>637</v>
      </c>
      <c r="AT166" t="s">
        <v>76</v>
      </c>
      <c r="AU166" t="s">
        <v>75</v>
      </c>
      <c r="AV166">
        <v>0.45</v>
      </c>
      <c r="AW166">
        <v>0.7</v>
      </c>
      <c r="AX166">
        <v>0.83</v>
      </c>
      <c r="AY166">
        <v>0.45</v>
      </c>
      <c r="AZ166">
        <v>0.7</v>
      </c>
      <c r="BA166">
        <v>0.83</v>
      </c>
      <c r="BB166" t="s">
        <v>86</v>
      </c>
      <c r="BC166">
        <v>0.7</v>
      </c>
      <c r="BD166">
        <v>0.45</v>
      </c>
      <c r="BE166">
        <v>1</v>
      </c>
      <c r="BF166">
        <v>0.2041</v>
      </c>
      <c r="BG166">
        <v>0</v>
      </c>
      <c r="BH166">
        <v>7.6499999999999999E-2</v>
      </c>
      <c r="BI166">
        <v>0</v>
      </c>
      <c r="BJ166">
        <v>0.2041</v>
      </c>
      <c r="BK166" t="s">
        <v>75</v>
      </c>
      <c r="BL166" t="s">
        <v>669</v>
      </c>
    </row>
    <row r="167" spans="1:65" x14ac:dyDescent="0.55000000000000004">
      <c r="A167" t="s">
        <v>639</v>
      </c>
      <c r="B167">
        <v>31</v>
      </c>
      <c r="C167">
        <v>2</v>
      </c>
      <c r="D167">
        <v>6</v>
      </c>
      <c r="E167">
        <v>1</v>
      </c>
      <c r="F167">
        <v>31.2</v>
      </c>
      <c r="G167" t="s">
        <v>670</v>
      </c>
      <c r="H167" t="s">
        <v>641</v>
      </c>
      <c r="I167" t="s">
        <v>642</v>
      </c>
      <c r="J167">
        <v>2023</v>
      </c>
      <c r="K167" t="s">
        <v>556</v>
      </c>
      <c r="L167" t="s">
        <v>597</v>
      </c>
      <c r="M167" t="s">
        <v>99</v>
      </c>
      <c r="N167" t="s">
        <v>100</v>
      </c>
      <c r="O167" t="s">
        <v>653</v>
      </c>
      <c r="P167" t="s">
        <v>134</v>
      </c>
      <c r="Q167" t="s">
        <v>134</v>
      </c>
      <c r="R167" t="s">
        <v>75</v>
      </c>
      <c r="S167" t="s">
        <v>75</v>
      </c>
      <c r="T167" t="s">
        <v>76</v>
      </c>
      <c r="U167" t="s">
        <v>75</v>
      </c>
      <c r="V167" t="s">
        <v>75</v>
      </c>
      <c r="W167" t="s">
        <v>75</v>
      </c>
      <c r="X167" t="s">
        <v>111</v>
      </c>
      <c r="Y167" t="s">
        <v>111</v>
      </c>
      <c r="Z167" t="s">
        <v>77</v>
      </c>
      <c r="AA167" t="s">
        <v>235</v>
      </c>
      <c r="AB167" t="s">
        <v>134</v>
      </c>
      <c r="AC167" t="s">
        <v>111</v>
      </c>
      <c r="AD167" t="s">
        <v>235</v>
      </c>
      <c r="AE167" t="s">
        <v>79</v>
      </c>
      <c r="AF167" t="s">
        <v>75</v>
      </c>
      <c r="AG167" t="s">
        <v>629</v>
      </c>
      <c r="AH167" t="s">
        <v>75</v>
      </c>
      <c r="AI167" t="s">
        <v>75</v>
      </c>
      <c r="AK167" t="s">
        <v>115</v>
      </c>
      <c r="AL167" t="s">
        <v>115</v>
      </c>
      <c r="AM167" t="s">
        <v>116</v>
      </c>
      <c r="AN167">
        <v>44</v>
      </c>
      <c r="AO167">
        <v>19</v>
      </c>
      <c r="AP167">
        <v>19</v>
      </c>
      <c r="AQ167" t="s">
        <v>662</v>
      </c>
      <c r="AR167" t="s">
        <v>472</v>
      </c>
      <c r="AS167" t="s">
        <v>637</v>
      </c>
      <c r="AT167" t="s">
        <v>76</v>
      </c>
      <c r="AU167" t="s">
        <v>75</v>
      </c>
      <c r="AV167">
        <v>0.66</v>
      </c>
      <c r="AW167">
        <v>0.7</v>
      </c>
      <c r="AX167">
        <v>0.82</v>
      </c>
      <c r="AY167">
        <v>0.66</v>
      </c>
      <c r="AZ167">
        <v>0.7</v>
      </c>
      <c r="BA167">
        <v>0.82</v>
      </c>
      <c r="BB167" t="s">
        <v>86</v>
      </c>
      <c r="BC167">
        <v>0.7</v>
      </c>
      <c r="BD167">
        <v>0.66</v>
      </c>
      <c r="BE167">
        <v>1</v>
      </c>
      <c r="BF167">
        <v>0.11119999999999999</v>
      </c>
      <c r="BG167">
        <v>0</v>
      </c>
      <c r="BH167">
        <v>0.11119999999999999</v>
      </c>
      <c r="BI167">
        <v>0</v>
      </c>
      <c r="BJ167">
        <v>0.11119999999999999</v>
      </c>
      <c r="BK167" t="s">
        <v>75</v>
      </c>
      <c r="BL167" t="s">
        <v>470</v>
      </c>
      <c r="BM167" t="s">
        <v>671</v>
      </c>
    </row>
    <row r="168" spans="1:65" x14ac:dyDescent="0.55000000000000004">
      <c r="A168" t="s">
        <v>639</v>
      </c>
      <c r="B168">
        <v>31</v>
      </c>
      <c r="C168">
        <v>2</v>
      </c>
      <c r="D168">
        <v>7</v>
      </c>
      <c r="E168">
        <v>1</v>
      </c>
      <c r="F168">
        <v>31.2</v>
      </c>
      <c r="G168" t="s">
        <v>672</v>
      </c>
      <c r="H168" t="s">
        <v>641</v>
      </c>
      <c r="I168" t="s">
        <v>642</v>
      </c>
      <c r="J168">
        <v>2023</v>
      </c>
      <c r="K168" t="s">
        <v>556</v>
      </c>
      <c r="L168" t="s">
        <v>597</v>
      </c>
      <c r="M168" t="s">
        <v>99</v>
      </c>
      <c r="N168" t="s">
        <v>100</v>
      </c>
      <c r="O168" t="s">
        <v>643</v>
      </c>
      <c r="P168" t="s">
        <v>134</v>
      </c>
      <c r="Q168" t="s">
        <v>134</v>
      </c>
      <c r="R168" t="s">
        <v>75</v>
      </c>
      <c r="S168" t="s">
        <v>75</v>
      </c>
      <c r="T168" t="s">
        <v>76</v>
      </c>
      <c r="U168" t="s">
        <v>75</v>
      </c>
      <c r="V168" t="s">
        <v>75</v>
      </c>
      <c r="W168" t="s">
        <v>75</v>
      </c>
      <c r="X168" t="s">
        <v>111</v>
      </c>
      <c r="Y168" t="s">
        <v>111</v>
      </c>
      <c r="Z168" t="s">
        <v>77</v>
      </c>
      <c r="AA168" t="s">
        <v>235</v>
      </c>
      <c r="AB168" t="s">
        <v>134</v>
      </c>
      <c r="AC168" t="s">
        <v>111</v>
      </c>
      <c r="AD168" t="s">
        <v>235</v>
      </c>
      <c r="AE168" t="s">
        <v>79</v>
      </c>
      <c r="AF168" t="s">
        <v>75</v>
      </c>
      <c r="AG168" t="s">
        <v>603</v>
      </c>
      <c r="AH168" t="s">
        <v>76</v>
      </c>
      <c r="AI168" t="s">
        <v>75</v>
      </c>
      <c r="AJ168" t="s">
        <v>110</v>
      </c>
      <c r="AK168" t="s">
        <v>115</v>
      </c>
      <c r="AL168" t="s">
        <v>115</v>
      </c>
      <c r="AM168" t="s">
        <v>116</v>
      </c>
      <c r="AN168">
        <v>44</v>
      </c>
      <c r="AO168">
        <v>25</v>
      </c>
      <c r="AP168">
        <v>25</v>
      </c>
      <c r="AQ168" t="s">
        <v>659</v>
      </c>
      <c r="AR168" t="s">
        <v>472</v>
      </c>
      <c r="AS168" t="s">
        <v>637</v>
      </c>
      <c r="AT168" t="s">
        <v>76</v>
      </c>
      <c r="AU168" t="s">
        <v>75</v>
      </c>
      <c r="AV168">
        <v>0.45</v>
      </c>
      <c r="AW168">
        <v>0.7</v>
      </c>
      <c r="AX168">
        <v>0.82</v>
      </c>
      <c r="AY168">
        <v>0.45</v>
      </c>
      <c r="AZ168">
        <v>0.7</v>
      </c>
      <c r="BA168">
        <v>0.82</v>
      </c>
      <c r="BB168" t="s">
        <v>86</v>
      </c>
      <c r="BC168">
        <v>0.7</v>
      </c>
      <c r="BD168">
        <v>0.45</v>
      </c>
      <c r="BE168">
        <v>1</v>
      </c>
      <c r="BF168">
        <v>0.2041</v>
      </c>
      <c r="BG168">
        <v>0</v>
      </c>
      <c r="BH168">
        <v>7.6499999999999999E-2</v>
      </c>
      <c r="BI168">
        <v>0</v>
      </c>
      <c r="BJ168">
        <v>0.2041</v>
      </c>
      <c r="BK168" t="s">
        <v>75</v>
      </c>
      <c r="BL168" t="s">
        <v>474</v>
      </c>
      <c r="BM168" t="s">
        <v>671</v>
      </c>
    </row>
    <row r="169" spans="1:65" x14ac:dyDescent="0.55000000000000004">
      <c r="A169" t="s">
        <v>639</v>
      </c>
      <c r="B169">
        <v>31</v>
      </c>
      <c r="C169">
        <v>2</v>
      </c>
      <c r="D169">
        <v>8</v>
      </c>
      <c r="E169">
        <v>1</v>
      </c>
      <c r="F169">
        <v>31.2</v>
      </c>
      <c r="G169" t="s">
        <v>673</v>
      </c>
      <c r="H169" t="s">
        <v>641</v>
      </c>
      <c r="I169" t="s">
        <v>642</v>
      </c>
      <c r="J169">
        <v>2023</v>
      </c>
      <c r="K169" t="s">
        <v>556</v>
      </c>
      <c r="L169" t="s">
        <v>597</v>
      </c>
      <c r="M169" t="s">
        <v>99</v>
      </c>
      <c r="N169" t="s">
        <v>100</v>
      </c>
      <c r="O169" t="s">
        <v>653</v>
      </c>
      <c r="P169" t="s">
        <v>134</v>
      </c>
      <c r="Q169" t="s">
        <v>134</v>
      </c>
      <c r="R169" t="s">
        <v>75</v>
      </c>
      <c r="S169" t="s">
        <v>75</v>
      </c>
      <c r="T169" t="s">
        <v>76</v>
      </c>
      <c r="U169" t="s">
        <v>75</v>
      </c>
      <c r="V169" t="s">
        <v>75</v>
      </c>
      <c r="W169" t="s">
        <v>75</v>
      </c>
      <c r="X169" t="s">
        <v>111</v>
      </c>
      <c r="Y169" t="s">
        <v>111</v>
      </c>
      <c r="Z169" t="s">
        <v>77</v>
      </c>
      <c r="AA169" t="s">
        <v>235</v>
      </c>
      <c r="AB169" t="s">
        <v>134</v>
      </c>
      <c r="AC169" t="s">
        <v>111</v>
      </c>
      <c r="AD169" t="s">
        <v>235</v>
      </c>
      <c r="AE169" t="s">
        <v>79</v>
      </c>
      <c r="AF169" t="s">
        <v>75</v>
      </c>
      <c r="AG169" t="s">
        <v>630</v>
      </c>
      <c r="AH169" t="s">
        <v>76</v>
      </c>
      <c r="AI169" t="s">
        <v>75</v>
      </c>
      <c r="AJ169" t="s">
        <v>110</v>
      </c>
      <c r="AK169" t="s">
        <v>115</v>
      </c>
      <c r="AL169" t="s">
        <v>115</v>
      </c>
      <c r="AM169" t="s">
        <v>116</v>
      </c>
      <c r="AN169">
        <v>44</v>
      </c>
      <c r="AO169">
        <v>19</v>
      </c>
      <c r="AP169">
        <v>19</v>
      </c>
      <c r="AQ169" t="s">
        <v>662</v>
      </c>
      <c r="AR169" t="s">
        <v>472</v>
      </c>
      <c r="AS169" t="s">
        <v>637</v>
      </c>
      <c r="AT169" t="s">
        <v>76</v>
      </c>
      <c r="AU169" t="s">
        <v>75</v>
      </c>
      <c r="AV169">
        <v>0.66</v>
      </c>
      <c r="AW169">
        <v>0.7</v>
      </c>
      <c r="AX169">
        <v>0.82</v>
      </c>
      <c r="AY169">
        <v>0.66</v>
      </c>
      <c r="AZ169">
        <v>0.7</v>
      </c>
      <c r="BA169">
        <v>0.82</v>
      </c>
      <c r="BB169" t="s">
        <v>86</v>
      </c>
      <c r="BC169">
        <v>0.7</v>
      </c>
      <c r="BD169">
        <v>0.66</v>
      </c>
      <c r="BE169">
        <v>1</v>
      </c>
      <c r="BF169">
        <v>0.11119999999999999</v>
      </c>
      <c r="BG169">
        <v>0</v>
      </c>
      <c r="BH169">
        <v>0.11119999999999999</v>
      </c>
      <c r="BI169">
        <v>0</v>
      </c>
      <c r="BJ169">
        <v>0.11119999999999999</v>
      </c>
      <c r="BK169" t="s">
        <v>75</v>
      </c>
    </row>
    <row r="170" spans="1:65" x14ac:dyDescent="0.55000000000000004">
      <c r="A170" t="s">
        <v>674</v>
      </c>
      <c r="B170">
        <v>34</v>
      </c>
      <c r="C170">
        <v>1</v>
      </c>
      <c r="D170">
        <v>1</v>
      </c>
      <c r="E170">
        <v>1</v>
      </c>
      <c r="F170">
        <v>34.1</v>
      </c>
      <c r="G170" t="s">
        <v>675</v>
      </c>
      <c r="H170" t="s">
        <v>676</v>
      </c>
      <c r="I170" t="s">
        <v>677</v>
      </c>
      <c r="J170">
        <v>2020</v>
      </c>
      <c r="K170" t="s">
        <v>556</v>
      </c>
      <c r="L170" t="s">
        <v>678</v>
      </c>
      <c r="M170" t="s">
        <v>108</v>
      </c>
      <c r="N170" t="s">
        <v>72</v>
      </c>
      <c r="O170" t="s">
        <v>679</v>
      </c>
      <c r="P170" t="s">
        <v>482</v>
      </c>
      <c r="Q170" t="s">
        <v>482</v>
      </c>
      <c r="R170" t="s">
        <v>75</v>
      </c>
      <c r="S170" t="s">
        <v>75</v>
      </c>
      <c r="T170" t="s">
        <v>75</v>
      </c>
      <c r="U170" t="s">
        <v>75</v>
      </c>
      <c r="V170" t="s">
        <v>75</v>
      </c>
      <c r="W170" t="s">
        <v>76</v>
      </c>
      <c r="X170" t="s">
        <v>110</v>
      </c>
      <c r="Y170" t="s">
        <v>348</v>
      </c>
      <c r="Z170" t="s">
        <v>349</v>
      </c>
      <c r="AA170" t="s">
        <v>112</v>
      </c>
      <c r="AB170" t="s">
        <v>482</v>
      </c>
      <c r="AC170" t="s">
        <v>110</v>
      </c>
      <c r="AD170" t="s">
        <v>112</v>
      </c>
      <c r="AE170" t="s">
        <v>79</v>
      </c>
      <c r="AF170" t="s">
        <v>75</v>
      </c>
      <c r="AG170" t="s">
        <v>648</v>
      </c>
      <c r="AH170" t="s">
        <v>76</v>
      </c>
      <c r="AI170" t="s">
        <v>76</v>
      </c>
      <c r="AJ170" t="s">
        <v>120</v>
      </c>
      <c r="AK170" t="s">
        <v>115</v>
      </c>
      <c r="AL170" t="s">
        <v>115</v>
      </c>
      <c r="AM170" t="s">
        <v>116</v>
      </c>
      <c r="AN170">
        <v>24</v>
      </c>
      <c r="AO170">
        <v>24</v>
      </c>
      <c r="AP170">
        <v>24</v>
      </c>
      <c r="AQ170" t="s">
        <v>680</v>
      </c>
      <c r="AR170" t="s">
        <v>680</v>
      </c>
      <c r="AS170" t="s">
        <v>681</v>
      </c>
      <c r="AT170" t="s">
        <v>75</v>
      </c>
      <c r="AU170" t="s">
        <v>75</v>
      </c>
      <c r="AV170">
        <v>0.96799999999999997</v>
      </c>
      <c r="AW170">
        <v>0.95699999999999996</v>
      </c>
      <c r="AX170">
        <v>0.97699999999999998</v>
      </c>
      <c r="AY170">
        <v>0.96799999999999997</v>
      </c>
      <c r="AZ170">
        <v>0.95699999999999996</v>
      </c>
      <c r="BA170">
        <v>0.97699999999999998</v>
      </c>
      <c r="BB170" t="s">
        <v>79</v>
      </c>
      <c r="BC170">
        <v>0.96799999999999997</v>
      </c>
      <c r="BD170">
        <v>0.95699999999999996</v>
      </c>
      <c r="BE170">
        <v>1</v>
      </c>
      <c r="BF170">
        <v>7.7499999999999999E-2</v>
      </c>
      <c r="BG170">
        <v>0</v>
      </c>
      <c r="BH170">
        <v>1.2500000000000001E-2</v>
      </c>
      <c r="BI170">
        <v>7.7483859000000002E-2</v>
      </c>
      <c r="BJ170">
        <v>0</v>
      </c>
      <c r="BK170" t="s">
        <v>75</v>
      </c>
    </row>
    <row r="171" spans="1:65" x14ac:dyDescent="0.55000000000000004">
      <c r="A171" t="s">
        <v>674</v>
      </c>
      <c r="B171">
        <v>34</v>
      </c>
      <c r="C171">
        <v>1</v>
      </c>
      <c r="D171">
        <v>1</v>
      </c>
      <c r="E171">
        <v>2</v>
      </c>
      <c r="F171">
        <v>34.1</v>
      </c>
      <c r="G171" t="s">
        <v>682</v>
      </c>
      <c r="H171" t="s">
        <v>676</v>
      </c>
      <c r="I171" t="s">
        <v>677</v>
      </c>
      <c r="J171">
        <v>2020</v>
      </c>
      <c r="K171" t="s">
        <v>556</v>
      </c>
      <c r="L171" t="s">
        <v>678</v>
      </c>
      <c r="M171" t="s">
        <v>108</v>
      </c>
      <c r="N171" t="s">
        <v>72</v>
      </c>
      <c r="O171" t="s">
        <v>679</v>
      </c>
      <c r="P171" t="s">
        <v>482</v>
      </c>
      <c r="Q171" t="s">
        <v>482</v>
      </c>
      <c r="R171" t="s">
        <v>75</v>
      </c>
      <c r="S171" t="s">
        <v>75</v>
      </c>
      <c r="T171" t="s">
        <v>75</v>
      </c>
      <c r="U171" t="s">
        <v>75</v>
      </c>
      <c r="V171" t="s">
        <v>75</v>
      </c>
      <c r="W171" t="s">
        <v>76</v>
      </c>
      <c r="X171" t="s">
        <v>110</v>
      </c>
      <c r="Y171" t="s">
        <v>348</v>
      </c>
      <c r="Z171" t="s">
        <v>349</v>
      </c>
      <c r="AA171" t="s">
        <v>112</v>
      </c>
      <c r="AB171" t="s">
        <v>482</v>
      </c>
      <c r="AC171" t="s">
        <v>110</v>
      </c>
      <c r="AD171" t="s">
        <v>112</v>
      </c>
      <c r="AE171" t="s">
        <v>79</v>
      </c>
      <c r="AF171" t="s">
        <v>75</v>
      </c>
      <c r="AG171" t="s">
        <v>650</v>
      </c>
      <c r="AH171" t="s">
        <v>76</v>
      </c>
      <c r="AI171" t="s">
        <v>76</v>
      </c>
      <c r="AJ171" t="s">
        <v>120</v>
      </c>
      <c r="AK171" t="s">
        <v>115</v>
      </c>
      <c r="AL171" t="s">
        <v>115</v>
      </c>
      <c r="AM171" t="s">
        <v>116</v>
      </c>
      <c r="AN171">
        <v>24</v>
      </c>
      <c r="AO171">
        <v>24</v>
      </c>
      <c r="AP171">
        <v>24</v>
      </c>
      <c r="AQ171" t="s">
        <v>680</v>
      </c>
      <c r="AR171" t="s">
        <v>680</v>
      </c>
      <c r="AS171" t="s">
        <v>681</v>
      </c>
      <c r="AT171" t="s">
        <v>75</v>
      </c>
      <c r="AU171" t="s">
        <v>75</v>
      </c>
      <c r="AV171">
        <v>0.70899999999999996</v>
      </c>
      <c r="AW171">
        <v>0.81399999999999995</v>
      </c>
      <c r="AX171">
        <v>0.77200000000000002</v>
      </c>
      <c r="AY171">
        <v>0.70899999999999996</v>
      </c>
      <c r="AZ171">
        <v>0.81399999999999995</v>
      </c>
      <c r="BA171">
        <v>0.77200000000000002</v>
      </c>
      <c r="BB171" t="s">
        <v>86</v>
      </c>
      <c r="BC171">
        <v>0.81399999999999995</v>
      </c>
      <c r="BD171">
        <v>0.70899999999999996</v>
      </c>
      <c r="BE171">
        <v>0</v>
      </c>
      <c r="BF171">
        <v>0.31490000000000001</v>
      </c>
      <c r="BG171">
        <v>0</v>
      </c>
      <c r="BH171">
        <v>0.18</v>
      </c>
      <c r="BI171">
        <v>0</v>
      </c>
      <c r="BJ171">
        <v>0.31490000000000001</v>
      </c>
      <c r="BK171" t="s">
        <v>75</v>
      </c>
    </row>
    <row r="172" spans="1:65" x14ac:dyDescent="0.55000000000000004">
      <c r="A172" t="s">
        <v>683</v>
      </c>
      <c r="B172">
        <v>40</v>
      </c>
      <c r="C172">
        <v>1</v>
      </c>
      <c r="D172">
        <v>1</v>
      </c>
      <c r="E172">
        <v>1</v>
      </c>
      <c r="F172">
        <v>40.1</v>
      </c>
      <c r="G172" t="s">
        <v>684</v>
      </c>
      <c r="H172" t="s">
        <v>685</v>
      </c>
      <c r="I172" t="s">
        <v>686</v>
      </c>
      <c r="J172">
        <v>2021</v>
      </c>
      <c r="K172" t="s">
        <v>556</v>
      </c>
      <c r="L172" t="s">
        <v>687</v>
      </c>
      <c r="M172" t="s">
        <v>217</v>
      </c>
      <c r="N172" t="s">
        <v>100</v>
      </c>
      <c r="O172" t="s">
        <v>688</v>
      </c>
      <c r="P172" t="s">
        <v>134</v>
      </c>
      <c r="Q172" t="s">
        <v>134</v>
      </c>
      <c r="R172" t="s">
        <v>75</v>
      </c>
      <c r="S172" t="s">
        <v>75</v>
      </c>
      <c r="T172" t="s">
        <v>76</v>
      </c>
      <c r="U172" t="s">
        <v>75</v>
      </c>
      <c r="V172" t="s">
        <v>75</v>
      </c>
      <c r="W172" t="s">
        <v>75</v>
      </c>
      <c r="X172" t="s">
        <v>134</v>
      </c>
      <c r="Y172" t="s">
        <v>348</v>
      </c>
      <c r="Z172" t="s">
        <v>349</v>
      </c>
      <c r="AA172" t="s">
        <v>112</v>
      </c>
      <c r="AB172" t="s">
        <v>134</v>
      </c>
      <c r="AC172" t="s">
        <v>134</v>
      </c>
      <c r="AD172" t="s">
        <v>112</v>
      </c>
      <c r="AE172" t="s">
        <v>79</v>
      </c>
      <c r="AF172" t="s">
        <v>75</v>
      </c>
      <c r="AH172" t="s">
        <v>76</v>
      </c>
      <c r="AI172" t="s">
        <v>76</v>
      </c>
      <c r="AJ172" t="s">
        <v>196</v>
      </c>
      <c r="AK172" t="s">
        <v>689</v>
      </c>
      <c r="AL172" t="s">
        <v>115</v>
      </c>
      <c r="AM172" t="s">
        <v>116</v>
      </c>
      <c r="AN172">
        <v>6</v>
      </c>
      <c r="AO172">
        <v>6</v>
      </c>
      <c r="AP172">
        <v>6</v>
      </c>
      <c r="AQ172" t="s">
        <v>690</v>
      </c>
      <c r="AR172" t="s">
        <v>472</v>
      </c>
      <c r="AS172" t="s">
        <v>471</v>
      </c>
      <c r="AT172" t="s">
        <v>76</v>
      </c>
      <c r="AU172" t="s">
        <v>75</v>
      </c>
      <c r="AV172">
        <v>1</v>
      </c>
      <c r="AW172">
        <v>0.38900000000000001</v>
      </c>
      <c r="AX172">
        <v>0.90300000000000002</v>
      </c>
      <c r="AY172">
        <v>1</v>
      </c>
      <c r="AZ172">
        <v>0.38900000000000001</v>
      </c>
      <c r="BA172">
        <v>0.90300000000000002</v>
      </c>
      <c r="BB172" t="s">
        <v>79</v>
      </c>
      <c r="BC172">
        <v>1</v>
      </c>
      <c r="BD172">
        <v>0.38900000000000001</v>
      </c>
      <c r="BE172">
        <v>0</v>
      </c>
      <c r="BF172">
        <v>0</v>
      </c>
      <c r="BG172">
        <v>0.16</v>
      </c>
      <c r="BH172">
        <v>0.14000000000000001</v>
      </c>
      <c r="BI172">
        <v>0</v>
      </c>
      <c r="BJ172">
        <v>0.16</v>
      </c>
      <c r="BK172" t="s">
        <v>75</v>
      </c>
      <c r="BL172" t="s">
        <v>276</v>
      </c>
    </row>
    <row r="173" spans="1:65" x14ac:dyDescent="0.55000000000000004">
      <c r="A173" t="s">
        <v>683</v>
      </c>
      <c r="B173">
        <v>40</v>
      </c>
      <c r="C173">
        <v>1</v>
      </c>
      <c r="D173">
        <v>1</v>
      </c>
      <c r="E173">
        <v>2</v>
      </c>
      <c r="F173">
        <v>40.1</v>
      </c>
      <c r="G173" t="s">
        <v>691</v>
      </c>
      <c r="H173" t="s">
        <v>685</v>
      </c>
      <c r="I173" t="s">
        <v>686</v>
      </c>
      <c r="J173">
        <v>2021</v>
      </c>
      <c r="K173" t="s">
        <v>556</v>
      </c>
      <c r="L173" t="s">
        <v>687</v>
      </c>
      <c r="M173" t="s">
        <v>217</v>
      </c>
      <c r="N173" t="s">
        <v>100</v>
      </c>
      <c r="O173" t="s">
        <v>688</v>
      </c>
      <c r="P173" t="s">
        <v>134</v>
      </c>
      <c r="Q173" t="s">
        <v>134</v>
      </c>
      <c r="R173" t="s">
        <v>75</v>
      </c>
      <c r="S173" t="s">
        <v>75</v>
      </c>
      <c r="T173" t="s">
        <v>76</v>
      </c>
      <c r="U173" t="s">
        <v>75</v>
      </c>
      <c r="V173" t="s">
        <v>75</v>
      </c>
      <c r="W173" t="s">
        <v>75</v>
      </c>
      <c r="X173" t="s">
        <v>134</v>
      </c>
      <c r="Y173" t="s">
        <v>348</v>
      </c>
      <c r="Z173" t="s">
        <v>349</v>
      </c>
      <c r="AA173" t="s">
        <v>112</v>
      </c>
      <c r="AB173" t="s">
        <v>134</v>
      </c>
      <c r="AC173" t="s">
        <v>134</v>
      </c>
      <c r="AD173" t="s">
        <v>112</v>
      </c>
      <c r="AE173" t="s">
        <v>79</v>
      </c>
      <c r="AF173" t="s">
        <v>75</v>
      </c>
      <c r="AH173" t="s">
        <v>76</v>
      </c>
      <c r="AI173" t="s">
        <v>76</v>
      </c>
      <c r="AJ173" t="s">
        <v>196</v>
      </c>
      <c r="AK173" t="s">
        <v>692</v>
      </c>
      <c r="AL173" t="s">
        <v>115</v>
      </c>
      <c r="AM173" t="s">
        <v>116</v>
      </c>
      <c r="AN173">
        <v>6</v>
      </c>
      <c r="AO173">
        <v>6</v>
      </c>
      <c r="AP173">
        <v>6</v>
      </c>
      <c r="AQ173" t="s">
        <v>690</v>
      </c>
      <c r="AR173" t="s">
        <v>472</v>
      </c>
      <c r="AS173" t="s">
        <v>471</v>
      </c>
      <c r="AT173" t="s">
        <v>76</v>
      </c>
      <c r="AU173" t="s">
        <v>75</v>
      </c>
      <c r="AV173">
        <v>0.80600000000000005</v>
      </c>
      <c r="AW173">
        <v>0.96199999999999997</v>
      </c>
      <c r="AX173">
        <v>0.88700000000000001</v>
      </c>
      <c r="AY173">
        <v>0.80600000000000005</v>
      </c>
      <c r="AZ173">
        <v>0.96199999999999997</v>
      </c>
      <c r="BA173">
        <v>0.88700000000000001</v>
      </c>
      <c r="BB173" t="s">
        <v>86</v>
      </c>
      <c r="BC173">
        <v>0.96199999999999997</v>
      </c>
      <c r="BD173">
        <v>0.80600000000000005</v>
      </c>
      <c r="BE173">
        <v>0</v>
      </c>
      <c r="BF173">
        <v>0.16</v>
      </c>
      <c r="BG173">
        <v>0.05</v>
      </c>
      <c r="BH173">
        <v>0.11</v>
      </c>
      <c r="BI173">
        <v>4.9989587000000002E-2</v>
      </c>
      <c r="BJ173">
        <v>0.16</v>
      </c>
      <c r="BK173" t="s">
        <v>75</v>
      </c>
      <c r="BL173" t="s">
        <v>279</v>
      </c>
    </row>
    <row r="174" spans="1:65" x14ac:dyDescent="0.55000000000000004">
      <c r="A174" t="s">
        <v>683</v>
      </c>
      <c r="B174">
        <v>40</v>
      </c>
      <c r="C174">
        <v>1</v>
      </c>
      <c r="D174">
        <v>1</v>
      </c>
      <c r="E174">
        <v>3</v>
      </c>
      <c r="F174">
        <v>40.1</v>
      </c>
      <c r="G174" t="s">
        <v>693</v>
      </c>
      <c r="H174" t="s">
        <v>685</v>
      </c>
      <c r="I174" t="s">
        <v>686</v>
      </c>
      <c r="J174">
        <v>2021</v>
      </c>
      <c r="K174" t="s">
        <v>556</v>
      </c>
      <c r="L174" t="s">
        <v>687</v>
      </c>
      <c r="M174" t="s">
        <v>217</v>
      </c>
      <c r="N174" t="s">
        <v>100</v>
      </c>
      <c r="O174" t="s">
        <v>688</v>
      </c>
      <c r="P174" t="s">
        <v>134</v>
      </c>
      <c r="Q174" t="s">
        <v>134</v>
      </c>
      <c r="R174" t="s">
        <v>75</v>
      </c>
      <c r="S174" t="s">
        <v>75</v>
      </c>
      <c r="T174" t="s">
        <v>76</v>
      </c>
      <c r="U174" t="s">
        <v>75</v>
      </c>
      <c r="V174" t="s">
        <v>75</v>
      </c>
      <c r="W174" t="s">
        <v>75</v>
      </c>
      <c r="X174" t="s">
        <v>134</v>
      </c>
      <c r="Y174" t="s">
        <v>348</v>
      </c>
      <c r="Z174" t="s">
        <v>349</v>
      </c>
      <c r="AA174" t="s">
        <v>112</v>
      </c>
      <c r="AB174" t="s">
        <v>134</v>
      </c>
      <c r="AC174" t="s">
        <v>134</v>
      </c>
      <c r="AD174" t="s">
        <v>112</v>
      </c>
      <c r="AE174" t="s">
        <v>79</v>
      </c>
      <c r="AF174" t="s">
        <v>75</v>
      </c>
      <c r="AH174" t="s">
        <v>76</v>
      </c>
      <c r="AI174" t="s">
        <v>76</v>
      </c>
      <c r="AJ174" t="s">
        <v>196</v>
      </c>
      <c r="AK174" t="s">
        <v>115</v>
      </c>
      <c r="AL174" t="s">
        <v>115</v>
      </c>
      <c r="AM174" t="s">
        <v>116</v>
      </c>
      <c r="AN174">
        <v>6</v>
      </c>
      <c r="AO174">
        <v>6</v>
      </c>
      <c r="AP174">
        <v>6</v>
      </c>
      <c r="AQ174" t="s">
        <v>690</v>
      </c>
      <c r="AR174" t="s">
        <v>472</v>
      </c>
      <c r="AS174" t="s">
        <v>471</v>
      </c>
      <c r="AT174" t="s">
        <v>76</v>
      </c>
      <c r="AU174" t="s">
        <v>75</v>
      </c>
      <c r="AV174">
        <v>0.86099999999999999</v>
      </c>
      <c r="AW174">
        <v>0.79200000000000004</v>
      </c>
      <c r="AX174">
        <v>0.88900000000000001</v>
      </c>
      <c r="AY174">
        <v>0.86099999999999999</v>
      </c>
      <c r="AZ174">
        <v>0.79200000000000004</v>
      </c>
      <c r="BA174">
        <v>0.88900000000000001</v>
      </c>
      <c r="BB174" t="s">
        <v>79</v>
      </c>
      <c r="BC174">
        <v>0.86099999999999999</v>
      </c>
      <c r="BD174">
        <v>0.79200000000000004</v>
      </c>
      <c r="BE174">
        <v>1</v>
      </c>
      <c r="BF174">
        <v>0.115</v>
      </c>
      <c r="BG174">
        <v>4.4999999999999998E-2</v>
      </c>
      <c r="BH174">
        <v>0.115</v>
      </c>
      <c r="BI174">
        <v>0.114976049</v>
      </c>
      <c r="BJ174">
        <v>4.4999999999999998E-2</v>
      </c>
      <c r="BK174" t="s">
        <v>75</v>
      </c>
      <c r="BL174" t="s">
        <v>282</v>
      </c>
    </row>
    <row r="175" spans="1:65" x14ac:dyDescent="0.55000000000000004">
      <c r="A175" t="s">
        <v>683</v>
      </c>
      <c r="B175">
        <v>40</v>
      </c>
      <c r="C175">
        <v>1</v>
      </c>
      <c r="D175">
        <v>2</v>
      </c>
      <c r="E175">
        <v>1</v>
      </c>
      <c r="F175">
        <v>40.1</v>
      </c>
      <c r="G175" t="s">
        <v>694</v>
      </c>
      <c r="H175" t="s">
        <v>685</v>
      </c>
      <c r="I175" t="s">
        <v>686</v>
      </c>
      <c r="J175">
        <v>2021</v>
      </c>
      <c r="K175" t="s">
        <v>556</v>
      </c>
      <c r="L175" t="s">
        <v>687</v>
      </c>
      <c r="M175" t="s">
        <v>217</v>
      </c>
      <c r="N175" t="s">
        <v>100</v>
      </c>
      <c r="O175" t="s">
        <v>688</v>
      </c>
      <c r="P175" t="s">
        <v>134</v>
      </c>
      <c r="Q175" t="s">
        <v>134</v>
      </c>
      <c r="R175" t="s">
        <v>75</v>
      </c>
      <c r="S175" t="s">
        <v>75</v>
      </c>
      <c r="T175" t="s">
        <v>76</v>
      </c>
      <c r="U175" t="s">
        <v>75</v>
      </c>
      <c r="V175" t="s">
        <v>75</v>
      </c>
      <c r="W175" t="s">
        <v>75</v>
      </c>
      <c r="X175" t="s">
        <v>134</v>
      </c>
      <c r="Y175" t="s">
        <v>348</v>
      </c>
      <c r="Z175" t="s">
        <v>349</v>
      </c>
      <c r="AA175" t="s">
        <v>112</v>
      </c>
      <c r="AB175" t="s">
        <v>134</v>
      </c>
      <c r="AC175" t="s">
        <v>134</v>
      </c>
      <c r="AD175" t="s">
        <v>112</v>
      </c>
      <c r="AE175" t="s">
        <v>79</v>
      </c>
      <c r="AF175" t="s">
        <v>75</v>
      </c>
      <c r="AH175" t="s">
        <v>76</v>
      </c>
      <c r="AI175" t="s">
        <v>76</v>
      </c>
      <c r="AJ175" t="s">
        <v>196</v>
      </c>
      <c r="AK175" t="s">
        <v>689</v>
      </c>
      <c r="AL175" t="s">
        <v>115</v>
      </c>
      <c r="AM175" t="s">
        <v>116</v>
      </c>
      <c r="AN175">
        <v>6</v>
      </c>
      <c r="AO175">
        <v>6</v>
      </c>
      <c r="AP175">
        <v>6</v>
      </c>
      <c r="AQ175" t="s">
        <v>695</v>
      </c>
      <c r="AR175" t="s">
        <v>472</v>
      </c>
      <c r="AS175" t="s">
        <v>471</v>
      </c>
      <c r="AT175" t="s">
        <v>76</v>
      </c>
      <c r="AU175" t="s">
        <v>75</v>
      </c>
      <c r="AV175">
        <v>0.83299999999999996</v>
      </c>
      <c r="AW175">
        <v>0.38900000000000001</v>
      </c>
      <c r="AX175">
        <v>1</v>
      </c>
      <c r="AY175">
        <v>0.83299999999999996</v>
      </c>
      <c r="AZ175">
        <v>0.38900000000000001</v>
      </c>
      <c r="BA175">
        <v>1</v>
      </c>
      <c r="BB175" t="s">
        <v>79</v>
      </c>
      <c r="BC175">
        <v>0.83299999999999996</v>
      </c>
      <c r="BD175">
        <v>0.38900000000000001</v>
      </c>
      <c r="BE175">
        <v>1</v>
      </c>
      <c r="BF175">
        <v>0.25369999999999998</v>
      </c>
      <c r="BG175">
        <v>0.16</v>
      </c>
      <c r="BH175">
        <v>0</v>
      </c>
      <c r="BI175">
        <v>0.25369715199999998</v>
      </c>
      <c r="BJ175">
        <v>0.16</v>
      </c>
      <c r="BK175" t="s">
        <v>75</v>
      </c>
      <c r="BL175" t="s">
        <v>284</v>
      </c>
    </row>
    <row r="176" spans="1:65" x14ac:dyDescent="0.55000000000000004">
      <c r="A176" t="s">
        <v>683</v>
      </c>
      <c r="B176">
        <v>40</v>
      </c>
      <c r="C176">
        <v>1</v>
      </c>
      <c r="D176">
        <v>2</v>
      </c>
      <c r="E176">
        <v>2</v>
      </c>
      <c r="F176">
        <v>40.1</v>
      </c>
      <c r="G176" t="s">
        <v>696</v>
      </c>
      <c r="H176" t="s">
        <v>685</v>
      </c>
      <c r="I176" t="s">
        <v>686</v>
      </c>
      <c r="J176">
        <v>2021</v>
      </c>
      <c r="K176" t="s">
        <v>556</v>
      </c>
      <c r="L176" t="s">
        <v>687</v>
      </c>
      <c r="M176" t="s">
        <v>217</v>
      </c>
      <c r="N176" t="s">
        <v>100</v>
      </c>
      <c r="O176" t="s">
        <v>688</v>
      </c>
      <c r="P176" t="s">
        <v>134</v>
      </c>
      <c r="Q176" t="s">
        <v>134</v>
      </c>
      <c r="R176" t="s">
        <v>75</v>
      </c>
      <c r="S176" t="s">
        <v>75</v>
      </c>
      <c r="T176" t="s">
        <v>76</v>
      </c>
      <c r="U176" t="s">
        <v>75</v>
      </c>
      <c r="V176" t="s">
        <v>75</v>
      </c>
      <c r="W176" t="s">
        <v>75</v>
      </c>
      <c r="X176" t="s">
        <v>134</v>
      </c>
      <c r="Y176" t="s">
        <v>348</v>
      </c>
      <c r="Z176" t="s">
        <v>349</v>
      </c>
      <c r="AA176" t="s">
        <v>112</v>
      </c>
      <c r="AB176" t="s">
        <v>134</v>
      </c>
      <c r="AC176" t="s">
        <v>134</v>
      </c>
      <c r="AD176" t="s">
        <v>112</v>
      </c>
      <c r="AE176" t="s">
        <v>79</v>
      </c>
      <c r="AF176" t="s">
        <v>75</v>
      </c>
      <c r="AH176" t="s">
        <v>76</v>
      </c>
      <c r="AI176" t="s">
        <v>76</v>
      </c>
      <c r="AJ176" t="s">
        <v>196</v>
      </c>
      <c r="AK176" t="s">
        <v>692</v>
      </c>
      <c r="AL176" t="s">
        <v>115</v>
      </c>
      <c r="AM176" t="s">
        <v>116</v>
      </c>
      <c r="AN176">
        <v>6</v>
      </c>
      <c r="AO176">
        <v>6</v>
      </c>
      <c r="AP176">
        <v>6</v>
      </c>
      <c r="AQ176" t="s">
        <v>695</v>
      </c>
      <c r="AR176" t="s">
        <v>472</v>
      </c>
      <c r="AS176" t="s">
        <v>471</v>
      </c>
      <c r="AT176" t="s">
        <v>76</v>
      </c>
      <c r="AU176" t="s">
        <v>75</v>
      </c>
      <c r="AV176">
        <v>0.82399999999999995</v>
      </c>
      <c r="AW176">
        <v>0.96199999999999997</v>
      </c>
      <c r="AX176">
        <v>0.84899999999999998</v>
      </c>
      <c r="AY176">
        <v>0.82399999999999995</v>
      </c>
      <c r="AZ176">
        <v>0.96199999999999997</v>
      </c>
      <c r="BA176">
        <v>0.84899999999999998</v>
      </c>
      <c r="BB176" t="s">
        <v>86</v>
      </c>
      <c r="BC176">
        <v>0.96199999999999997</v>
      </c>
      <c r="BD176">
        <v>0.82399999999999995</v>
      </c>
      <c r="BE176">
        <v>0</v>
      </c>
      <c r="BF176">
        <v>0.17369999999999999</v>
      </c>
      <c r="BG176">
        <v>0.05</v>
      </c>
      <c r="BH176">
        <v>8.5000000000000006E-2</v>
      </c>
      <c r="BI176">
        <v>4.9989587000000002E-2</v>
      </c>
      <c r="BJ176">
        <v>0.17369999999999999</v>
      </c>
      <c r="BK176" t="s">
        <v>75</v>
      </c>
      <c r="BL176" t="s">
        <v>275</v>
      </c>
    </row>
    <row r="177" spans="1:64" x14ac:dyDescent="0.55000000000000004">
      <c r="A177" t="s">
        <v>683</v>
      </c>
      <c r="B177">
        <v>40</v>
      </c>
      <c r="C177">
        <v>1</v>
      </c>
      <c r="D177">
        <v>2</v>
      </c>
      <c r="E177">
        <v>3</v>
      </c>
      <c r="F177">
        <v>40.1</v>
      </c>
      <c r="G177" t="s">
        <v>697</v>
      </c>
      <c r="H177" t="s">
        <v>685</v>
      </c>
      <c r="I177" t="s">
        <v>686</v>
      </c>
      <c r="J177">
        <v>2021</v>
      </c>
      <c r="K177" t="s">
        <v>556</v>
      </c>
      <c r="L177" t="s">
        <v>687</v>
      </c>
      <c r="M177" t="s">
        <v>217</v>
      </c>
      <c r="N177" t="s">
        <v>100</v>
      </c>
      <c r="O177" t="s">
        <v>688</v>
      </c>
      <c r="P177" t="s">
        <v>134</v>
      </c>
      <c r="Q177" t="s">
        <v>134</v>
      </c>
      <c r="R177" t="s">
        <v>75</v>
      </c>
      <c r="S177" t="s">
        <v>75</v>
      </c>
      <c r="T177" t="s">
        <v>76</v>
      </c>
      <c r="U177" t="s">
        <v>75</v>
      </c>
      <c r="V177" t="s">
        <v>75</v>
      </c>
      <c r="W177" t="s">
        <v>75</v>
      </c>
      <c r="X177" t="s">
        <v>134</v>
      </c>
      <c r="Y177" t="s">
        <v>348</v>
      </c>
      <c r="Z177" t="s">
        <v>349</v>
      </c>
      <c r="AA177" t="s">
        <v>112</v>
      </c>
      <c r="AB177" t="s">
        <v>134</v>
      </c>
      <c r="AC177" t="s">
        <v>134</v>
      </c>
      <c r="AD177" t="s">
        <v>112</v>
      </c>
      <c r="AE177" t="s">
        <v>79</v>
      </c>
      <c r="AF177" t="s">
        <v>75</v>
      </c>
      <c r="AH177" t="s">
        <v>76</v>
      </c>
      <c r="AI177" t="s">
        <v>76</v>
      </c>
      <c r="AJ177" t="s">
        <v>196</v>
      </c>
      <c r="AK177" t="s">
        <v>115</v>
      </c>
      <c r="AL177" t="s">
        <v>115</v>
      </c>
      <c r="AM177" t="s">
        <v>116</v>
      </c>
      <c r="AN177">
        <v>6</v>
      </c>
      <c r="AO177">
        <v>6</v>
      </c>
      <c r="AP177">
        <v>6</v>
      </c>
      <c r="AQ177" t="s">
        <v>695</v>
      </c>
      <c r="AR177" t="s">
        <v>472</v>
      </c>
      <c r="AS177" t="s">
        <v>471</v>
      </c>
      <c r="AT177" t="s">
        <v>76</v>
      </c>
      <c r="AU177" t="s">
        <v>75</v>
      </c>
      <c r="AV177">
        <v>0.83299999999999996</v>
      </c>
      <c r="AW177">
        <v>0.79200000000000004</v>
      </c>
      <c r="AX177">
        <v>0.88900000000000001</v>
      </c>
      <c r="AY177">
        <v>0.83299999999999996</v>
      </c>
      <c r="AZ177">
        <v>0.79200000000000004</v>
      </c>
      <c r="BA177">
        <v>0.88900000000000001</v>
      </c>
      <c r="BB177" t="s">
        <v>79</v>
      </c>
      <c r="BC177">
        <v>0.83299999999999996</v>
      </c>
      <c r="BD177">
        <v>0.79200000000000004</v>
      </c>
      <c r="BE177">
        <v>1</v>
      </c>
      <c r="BF177">
        <v>0.13619999999999999</v>
      </c>
      <c r="BG177">
        <v>4.4999999999999998E-2</v>
      </c>
      <c r="BH177">
        <v>6.25E-2</v>
      </c>
      <c r="BI177">
        <v>0.13622162299999999</v>
      </c>
      <c r="BJ177">
        <v>4.4999999999999998E-2</v>
      </c>
      <c r="BK177" t="s">
        <v>75</v>
      </c>
      <c r="BL177" t="s">
        <v>276</v>
      </c>
    </row>
    <row r="178" spans="1:64" x14ac:dyDescent="0.55000000000000004">
      <c r="A178" t="s">
        <v>698</v>
      </c>
      <c r="B178">
        <v>41</v>
      </c>
      <c r="C178">
        <v>1</v>
      </c>
      <c r="D178">
        <v>1</v>
      </c>
      <c r="E178">
        <v>1</v>
      </c>
      <c r="F178">
        <v>41.1</v>
      </c>
      <c r="G178" t="s">
        <v>699</v>
      </c>
      <c r="H178" t="s">
        <v>700</v>
      </c>
      <c r="I178" t="s">
        <v>701</v>
      </c>
      <c r="J178">
        <v>2020</v>
      </c>
      <c r="K178" t="s">
        <v>556</v>
      </c>
      <c r="L178" t="s">
        <v>702</v>
      </c>
      <c r="M178" t="s">
        <v>108</v>
      </c>
      <c r="N178" t="s">
        <v>72</v>
      </c>
      <c r="O178" t="s">
        <v>703</v>
      </c>
      <c r="P178" t="s">
        <v>134</v>
      </c>
      <c r="Q178" t="s">
        <v>134</v>
      </c>
      <c r="R178" t="s">
        <v>75</v>
      </c>
      <c r="S178" t="s">
        <v>75</v>
      </c>
      <c r="T178" t="s">
        <v>76</v>
      </c>
      <c r="U178" t="s">
        <v>75</v>
      </c>
      <c r="V178" t="s">
        <v>75</v>
      </c>
      <c r="W178" t="s">
        <v>75</v>
      </c>
      <c r="X178" t="s">
        <v>135</v>
      </c>
      <c r="Y178" t="s">
        <v>135</v>
      </c>
      <c r="Z178" t="s">
        <v>77</v>
      </c>
      <c r="AA178" t="s">
        <v>235</v>
      </c>
      <c r="AB178" t="s">
        <v>134</v>
      </c>
      <c r="AC178" t="s">
        <v>135</v>
      </c>
      <c r="AD178" t="s">
        <v>235</v>
      </c>
      <c r="AE178" t="s">
        <v>79</v>
      </c>
      <c r="AF178" t="s">
        <v>75</v>
      </c>
      <c r="AG178" t="s">
        <v>475</v>
      </c>
      <c r="AH178" t="s">
        <v>75</v>
      </c>
      <c r="AI178" t="s">
        <v>75</v>
      </c>
      <c r="AK178" t="s">
        <v>115</v>
      </c>
      <c r="AL178" t="s">
        <v>115</v>
      </c>
      <c r="AM178" t="s">
        <v>116</v>
      </c>
      <c r="AN178">
        <v>102</v>
      </c>
      <c r="AO178">
        <v>18</v>
      </c>
      <c r="AP178">
        <v>19</v>
      </c>
      <c r="AQ178" t="s">
        <v>84</v>
      </c>
      <c r="AR178" t="s">
        <v>84</v>
      </c>
      <c r="AS178" t="s">
        <v>85</v>
      </c>
      <c r="AT178" t="s">
        <v>75</v>
      </c>
      <c r="AU178" t="s">
        <v>76</v>
      </c>
      <c r="AV178">
        <v>0.46300000000000002</v>
      </c>
      <c r="AW178">
        <v>0.75</v>
      </c>
      <c r="AX178">
        <v>0.68420000000000003</v>
      </c>
      <c r="AY178">
        <v>0.46300000000000002</v>
      </c>
      <c r="AZ178">
        <v>0.75</v>
      </c>
      <c r="BA178">
        <v>0.68420000000000003</v>
      </c>
      <c r="BB178" t="s">
        <v>86</v>
      </c>
      <c r="BC178">
        <v>0.75</v>
      </c>
      <c r="BD178">
        <v>0.46300000000000002</v>
      </c>
      <c r="BE178">
        <v>0</v>
      </c>
      <c r="BF178">
        <v>0.1019</v>
      </c>
      <c r="BG178">
        <v>0</v>
      </c>
      <c r="BH178">
        <v>9.5000000000000001E-2</v>
      </c>
      <c r="BI178">
        <v>0</v>
      </c>
      <c r="BJ178">
        <v>0.1019</v>
      </c>
      <c r="BK178" t="s">
        <v>75</v>
      </c>
      <c r="BL178" t="s">
        <v>279</v>
      </c>
    </row>
    <row r="179" spans="1:64" x14ac:dyDescent="0.55000000000000004">
      <c r="A179" t="s">
        <v>698</v>
      </c>
      <c r="B179">
        <v>41</v>
      </c>
      <c r="C179">
        <v>1</v>
      </c>
      <c r="D179">
        <v>2</v>
      </c>
      <c r="E179">
        <v>1</v>
      </c>
      <c r="F179">
        <v>41.1</v>
      </c>
      <c r="G179" t="s">
        <v>704</v>
      </c>
      <c r="H179" t="s">
        <v>700</v>
      </c>
      <c r="I179" t="s">
        <v>701</v>
      </c>
      <c r="J179">
        <v>2020</v>
      </c>
      <c r="K179" t="s">
        <v>556</v>
      </c>
      <c r="L179" t="s">
        <v>702</v>
      </c>
      <c r="M179" t="s">
        <v>108</v>
      </c>
      <c r="N179" t="s">
        <v>72</v>
      </c>
      <c r="O179" t="s">
        <v>703</v>
      </c>
      <c r="P179" t="s">
        <v>134</v>
      </c>
      <c r="Q179" t="s">
        <v>134</v>
      </c>
      <c r="R179" t="s">
        <v>75</v>
      </c>
      <c r="S179" t="s">
        <v>75</v>
      </c>
      <c r="T179" t="s">
        <v>76</v>
      </c>
      <c r="U179" t="s">
        <v>75</v>
      </c>
      <c r="V179" t="s">
        <v>75</v>
      </c>
      <c r="W179" t="s">
        <v>75</v>
      </c>
      <c r="X179" t="s">
        <v>135</v>
      </c>
      <c r="Y179" t="s">
        <v>135</v>
      </c>
      <c r="Z179" t="s">
        <v>77</v>
      </c>
      <c r="AA179" t="s">
        <v>235</v>
      </c>
      <c r="AB179" t="s">
        <v>134</v>
      </c>
      <c r="AC179" t="s">
        <v>135</v>
      </c>
      <c r="AD179" t="s">
        <v>235</v>
      </c>
      <c r="AE179" t="s">
        <v>79</v>
      </c>
      <c r="AF179" t="s">
        <v>75</v>
      </c>
      <c r="AG179" t="s">
        <v>483</v>
      </c>
      <c r="AH179" t="s">
        <v>76</v>
      </c>
      <c r="AI179" t="s">
        <v>75</v>
      </c>
      <c r="AJ179" t="s">
        <v>196</v>
      </c>
      <c r="AK179" t="s">
        <v>115</v>
      </c>
      <c r="AL179" t="s">
        <v>115</v>
      </c>
      <c r="AM179" t="s">
        <v>116</v>
      </c>
      <c r="AN179">
        <v>102</v>
      </c>
      <c r="AO179">
        <v>18</v>
      </c>
      <c r="AP179">
        <v>65</v>
      </c>
      <c r="AQ179" t="s">
        <v>84</v>
      </c>
      <c r="AR179" t="s">
        <v>84</v>
      </c>
      <c r="AS179" t="s">
        <v>85</v>
      </c>
      <c r="AT179" t="s">
        <v>75</v>
      </c>
      <c r="AU179" t="s">
        <v>76</v>
      </c>
      <c r="AV179">
        <v>0.46300000000000002</v>
      </c>
      <c r="AW179">
        <v>0.75</v>
      </c>
      <c r="AX179">
        <v>0.73780000000000001</v>
      </c>
      <c r="AY179">
        <v>0.46300000000000002</v>
      </c>
      <c r="AZ179">
        <v>0.75</v>
      </c>
      <c r="BA179">
        <v>0.73780000000000001</v>
      </c>
      <c r="BB179" t="s">
        <v>86</v>
      </c>
      <c r="BC179">
        <v>0.75</v>
      </c>
      <c r="BD179">
        <v>0.46300000000000002</v>
      </c>
      <c r="BE179">
        <v>0</v>
      </c>
      <c r="BF179">
        <v>0.1019</v>
      </c>
      <c r="BG179">
        <v>0</v>
      </c>
      <c r="BH179">
        <v>8.9800000000000005E-2</v>
      </c>
      <c r="BI179">
        <v>0</v>
      </c>
      <c r="BJ179">
        <v>0.1019</v>
      </c>
      <c r="BK179" t="s">
        <v>75</v>
      </c>
      <c r="BL179" t="s">
        <v>282</v>
      </c>
    </row>
    <row r="180" spans="1:64" x14ac:dyDescent="0.55000000000000004">
      <c r="A180" t="s">
        <v>705</v>
      </c>
      <c r="B180">
        <v>42</v>
      </c>
      <c r="C180">
        <v>1</v>
      </c>
      <c r="D180">
        <v>1</v>
      </c>
      <c r="E180">
        <v>1</v>
      </c>
      <c r="F180">
        <v>42.1</v>
      </c>
      <c r="G180" t="s">
        <v>706</v>
      </c>
      <c r="H180" t="s">
        <v>707</v>
      </c>
      <c r="I180" t="s">
        <v>708</v>
      </c>
      <c r="J180">
        <v>2021</v>
      </c>
      <c r="K180" t="s">
        <v>556</v>
      </c>
      <c r="L180" t="s">
        <v>500</v>
      </c>
      <c r="M180" t="s">
        <v>99</v>
      </c>
      <c r="N180" t="s">
        <v>100</v>
      </c>
      <c r="O180" t="s">
        <v>703</v>
      </c>
      <c r="P180" t="s">
        <v>134</v>
      </c>
      <c r="Q180" t="s">
        <v>134</v>
      </c>
      <c r="R180" t="s">
        <v>75</v>
      </c>
      <c r="S180" t="s">
        <v>75</v>
      </c>
      <c r="T180" t="s">
        <v>76</v>
      </c>
      <c r="U180" t="s">
        <v>75</v>
      </c>
      <c r="V180" t="s">
        <v>75</v>
      </c>
      <c r="W180" t="s">
        <v>75</v>
      </c>
      <c r="X180" t="s">
        <v>111</v>
      </c>
      <c r="Y180" t="s">
        <v>111</v>
      </c>
      <c r="Z180" t="s">
        <v>77</v>
      </c>
      <c r="AA180" t="s">
        <v>235</v>
      </c>
      <c r="AB180" t="s">
        <v>134</v>
      </c>
      <c r="AC180" t="s">
        <v>113</v>
      </c>
      <c r="AD180" t="s">
        <v>235</v>
      </c>
      <c r="AE180" t="s">
        <v>79</v>
      </c>
      <c r="AF180" t="s">
        <v>75</v>
      </c>
      <c r="AG180" t="s">
        <v>709</v>
      </c>
      <c r="AH180" t="s">
        <v>76</v>
      </c>
      <c r="AI180" t="s">
        <v>76</v>
      </c>
      <c r="AJ180" t="s">
        <v>120</v>
      </c>
      <c r="AK180" t="s">
        <v>710</v>
      </c>
      <c r="AL180" t="s">
        <v>115</v>
      </c>
      <c r="AM180" t="s">
        <v>116</v>
      </c>
      <c r="AN180">
        <v>199</v>
      </c>
      <c r="AO180">
        <v>53</v>
      </c>
      <c r="AP180">
        <v>98</v>
      </c>
      <c r="AQ180" t="s">
        <v>84</v>
      </c>
      <c r="AR180" t="s">
        <v>84</v>
      </c>
      <c r="AS180" t="s">
        <v>85</v>
      </c>
      <c r="AT180" t="s">
        <v>75</v>
      </c>
      <c r="AU180" t="s">
        <v>76</v>
      </c>
      <c r="AV180">
        <v>0.42</v>
      </c>
      <c r="AW180">
        <v>0.75</v>
      </c>
      <c r="AX180">
        <v>0.56000000000000005</v>
      </c>
      <c r="AY180">
        <v>0.42</v>
      </c>
      <c r="AZ180">
        <v>0.75</v>
      </c>
      <c r="BA180">
        <v>0.56000000000000005</v>
      </c>
      <c r="BB180" t="s">
        <v>86</v>
      </c>
      <c r="BC180">
        <v>0.75</v>
      </c>
      <c r="BD180">
        <v>0.42</v>
      </c>
      <c r="BE180">
        <v>0</v>
      </c>
      <c r="BF180">
        <v>0.21840000000000001</v>
      </c>
      <c r="BG180">
        <v>0</v>
      </c>
      <c r="BH180">
        <v>0.19800000000000001</v>
      </c>
      <c r="BI180">
        <v>0</v>
      </c>
      <c r="BJ180">
        <v>0.21840000000000001</v>
      </c>
      <c r="BK180" t="s">
        <v>75</v>
      </c>
      <c r="BL180" t="s">
        <v>284</v>
      </c>
    </row>
    <row r="181" spans="1:64" x14ac:dyDescent="0.55000000000000004">
      <c r="A181" t="s">
        <v>705</v>
      </c>
      <c r="B181">
        <v>42</v>
      </c>
      <c r="C181">
        <v>1</v>
      </c>
      <c r="D181">
        <v>2</v>
      </c>
      <c r="E181">
        <v>1</v>
      </c>
      <c r="F181">
        <v>42.1</v>
      </c>
      <c r="G181" t="s">
        <v>711</v>
      </c>
      <c r="H181" t="s">
        <v>707</v>
      </c>
      <c r="I181" t="s">
        <v>708</v>
      </c>
      <c r="J181">
        <v>2021</v>
      </c>
      <c r="K181" t="s">
        <v>556</v>
      </c>
      <c r="L181" t="s">
        <v>500</v>
      </c>
      <c r="M181" t="s">
        <v>99</v>
      </c>
      <c r="N181" t="s">
        <v>100</v>
      </c>
      <c r="O181" t="s">
        <v>703</v>
      </c>
      <c r="P181" t="s">
        <v>134</v>
      </c>
      <c r="Q181" t="s">
        <v>134</v>
      </c>
      <c r="R181" t="s">
        <v>75</v>
      </c>
      <c r="S181" t="s">
        <v>75</v>
      </c>
      <c r="T181" t="s">
        <v>76</v>
      </c>
      <c r="U181" t="s">
        <v>75</v>
      </c>
      <c r="V181" t="s">
        <v>75</v>
      </c>
      <c r="W181" t="s">
        <v>75</v>
      </c>
      <c r="X181" t="s">
        <v>111</v>
      </c>
      <c r="Y181" t="s">
        <v>111</v>
      </c>
      <c r="Z181" t="s">
        <v>77</v>
      </c>
      <c r="AA181" t="s">
        <v>235</v>
      </c>
      <c r="AB181" t="s">
        <v>134</v>
      </c>
      <c r="AC181" t="s">
        <v>113</v>
      </c>
      <c r="AD181" t="s">
        <v>235</v>
      </c>
      <c r="AE181" t="s">
        <v>79</v>
      </c>
      <c r="AF181" t="s">
        <v>75</v>
      </c>
      <c r="AG181" t="s">
        <v>712</v>
      </c>
      <c r="AH181" t="s">
        <v>76</v>
      </c>
      <c r="AI181" t="s">
        <v>76</v>
      </c>
      <c r="AJ181" t="s">
        <v>120</v>
      </c>
      <c r="AK181" t="s">
        <v>710</v>
      </c>
      <c r="AL181" t="s">
        <v>115</v>
      </c>
      <c r="AM181" t="s">
        <v>116</v>
      </c>
      <c r="AN181">
        <v>199</v>
      </c>
      <c r="AO181">
        <v>53</v>
      </c>
      <c r="AP181">
        <v>123</v>
      </c>
      <c r="AQ181" t="s">
        <v>84</v>
      </c>
      <c r="AR181" t="s">
        <v>84</v>
      </c>
      <c r="AS181" t="s">
        <v>85</v>
      </c>
      <c r="AT181" t="s">
        <v>75</v>
      </c>
      <c r="AU181" t="s">
        <v>76</v>
      </c>
      <c r="AV181">
        <v>0.42</v>
      </c>
      <c r="AW181">
        <v>0.75</v>
      </c>
      <c r="AX181">
        <v>0.56999999999999995</v>
      </c>
      <c r="AY181">
        <v>0.42</v>
      </c>
      <c r="AZ181">
        <v>0.75</v>
      </c>
      <c r="BA181">
        <v>0.56999999999999995</v>
      </c>
      <c r="BB181" t="s">
        <v>86</v>
      </c>
      <c r="BC181">
        <v>0.75</v>
      </c>
      <c r="BD181">
        <v>0.42</v>
      </c>
      <c r="BE181">
        <v>0</v>
      </c>
      <c r="BF181">
        <v>0.21840000000000001</v>
      </c>
      <c r="BG181">
        <v>0</v>
      </c>
      <c r="BH181">
        <v>0.2218</v>
      </c>
      <c r="BI181">
        <v>0</v>
      </c>
      <c r="BJ181">
        <v>0.21840000000000001</v>
      </c>
      <c r="BK181" t="s">
        <v>75</v>
      </c>
      <c r="BL181" t="s">
        <v>275</v>
      </c>
    </row>
    <row r="182" spans="1:64" x14ac:dyDescent="0.55000000000000004">
      <c r="A182" t="s">
        <v>713</v>
      </c>
      <c r="B182">
        <v>44</v>
      </c>
      <c r="C182">
        <v>1</v>
      </c>
      <c r="D182">
        <v>1</v>
      </c>
      <c r="E182">
        <v>1</v>
      </c>
      <c r="F182">
        <v>44.1</v>
      </c>
      <c r="G182" t="s">
        <v>714</v>
      </c>
      <c r="H182" t="s">
        <v>715</v>
      </c>
      <c r="I182" t="s">
        <v>716</v>
      </c>
      <c r="J182">
        <v>2021</v>
      </c>
      <c r="K182" t="s">
        <v>556</v>
      </c>
      <c r="L182" t="s">
        <v>717</v>
      </c>
      <c r="M182" t="s">
        <v>718</v>
      </c>
      <c r="N182" t="s">
        <v>100</v>
      </c>
      <c r="O182" t="s">
        <v>719</v>
      </c>
      <c r="P182" t="s">
        <v>482</v>
      </c>
      <c r="Q182" t="s">
        <v>482</v>
      </c>
      <c r="R182" t="s">
        <v>75</v>
      </c>
      <c r="S182" t="s">
        <v>75</v>
      </c>
      <c r="T182" t="s">
        <v>75</v>
      </c>
      <c r="U182" t="s">
        <v>75</v>
      </c>
      <c r="V182" t="s">
        <v>75</v>
      </c>
      <c r="W182" t="s">
        <v>76</v>
      </c>
      <c r="X182" t="s">
        <v>135</v>
      </c>
      <c r="Y182" t="s">
        <v>135</v>
      </c>
      <c r="Z182" t="s">
        <v>77</v>
      </c>
      <c r="AA182" t="s">
        <v>112</v>
      </c>
      <c r="AB182" t="s">
        <v>110</v>
      </c>
      <c r="AC182" t="s">
        <v>135</v>
      </c>
      <c r="AD182" t="s">
        <v>112</v>
      </c>
      <c r="AE182" t="s">
        <v>79</v>
      </c>
      <c r="AF182" t="s">
        <v>76</v>
      </c>
      <c r="AG182" t="s">
        <v>286</v>
      </c>
      <c r="AH182" t="s">
        <v>76</v>
      </c>
      <c r="AI182" t="s">
        <v>76</v>
      </c>
      <c r="AJ182" t="s">
        <v>120</v>
      </c>
      <c r="AK182" t="s">
        <v>720</v>
      </c>
      <c r="AL182" t="s">
        <v>115</v>
      </c>
      <c r="AM182" t="s">
        <v>116</v>
      </c>
      <c r="AN182">
        <v>5</v>
      </c>
      <c r="AO182">
        <v>5</v>
      </c>
      <c r="AP182">
        <v>5</v>
      </c>
      <c r="AQ182" t="s">
        <v>721</v>
      </c>
      <c r="AR182" t="s">
        <v>472</v>
      </c>
      <c r="AS182" t="s">
        <v>471</v>
      </c>
      <c r="AT182" t="s">
        <v>76</v>
      </c>
      <c r="AU182" t="s">
        <v>75</v>
      </c>
      <c r="AV182">
        <v>0.74550000000000005</v>
      </c>
      <c r="AW182">
        <v>0.61480000000000001</v>
      </c>
      <c r="AX182">
        <v>0.77869999999999995</v>
      </c>
      <c r="AY182">
        <v>0.74550000000000005</v>
      </c>
      <c r="AZ182">
        <v>0.61480000000000001</v>
      </c>
      <c r="BA182">
        <v>0.77869999999999995</v>
      </c>
      <c r="BB182" t="s">
        <v>79</v>
      </c>
      <c r="BC182">
        <v>0.74550000000000005</v>
      </c>
      <c r="BD182">
        <v>0.61480000000000001</v>
      </c>
      <c r="BE182">
        <v>1</v>
      </c>
      <c r="BF182">
        <v>0.2054</v>
      </c>
      <c r="BG182">
        <v>0.17019999999999999</v>
      </c>
      <c r="BH182">
        <v>0.13150000000000001</v>
      </c>
      <c r="BI182">
        <v>0.2054</v>
      </c>
      <c r="BJ182">
        <v>0.17019999999999999</v>
      </c>
      <c r="BK182" t="s">
        <v>75</v>
      </c>
      <c r="BL182" t="s">
        <v>302</v>
      </c>
    </row>
    <row r="183" spans="1:64" x14ac:dyDescent="0.55000000000000004">
      <c r="A183" t="s">
        <v>713</v>
      </c>
      <c r="B183">
        <v>44</v>
      </c>
      <c r="C183">
        <v>1</v>
      </c>
      <c r="D183">
        <v>2</v>
      </c>
      <c r="E183">
        <v>1</v>
      </c>
      <c r="F183">
        <v>44.1</v>
      </c>
      <c r="G183" t="s">
        <v>722</v>
      </c>
      <c r="H183" t="s">
        <v>715</v>
      </c>
      <c r="I183" t="s">
        <v>716</v>
      </c>
      <c r="J183">
        <v>2021</v>
      </c>
      <c r="K183" t="s">
        <v>556</v>
      </c>
      <c r="L183" t="s">
        <v>717</v>
      </c>
      <c r="M183" t="s">
        <v>718</v>
      </c>
      <c r="N183" t="s">
        <v>100</v>
      </c>
      <c r="O183" t="s">
        <v>719</v>
      </c>
      <c r="P183" t="s">
        <v>482</v>
      </c>
      <c r="Q183" t="s">
        <v>482</v>
      </c>
      <c r="R183" t="s">
        <v>75</v>
      </c>
      <c r="S183" t="s">
        <v>75</v>
      </c>
      <c r="T183" t="s">
        <v>75</v>
      </c>
      <c r="U183" t="s">
        <v>75</v>
      </c>
      <c r="V183" t="s">
        <v>75</v>
      </c>
      <c r="W183" t="s">
        <v>76</v>
      </c>
      <c r="X183" t="s">
        <v>135</v>
      </c>
      <c r="Y183" t="s">
        <v>135</v>
      </c>
      <c r="Z183" t="s">
        <v>77</v>
      </c>
      <c r="AA183" t="s">
        <v>112</v>
      </c>
      <c r="AB183" t="s">
        <v>110</v>
      </c>
      <c r="AC183" t="s">
        <v>135</v>
      </c>
      <c r="AD183" t="s">
        <v>112</v>
      </c>
      <c r="AE183" t="s">
        <v>79</v>
      </c>
      <c r="AF183" t="s">
        <v>76</v>
      </c>
      <c r="AG183" t="s">
        <v>288</v>
      </c>
      <c r="AH183" t="s">
        <v>76</v>
      </c>
      <c r="AI183" t="s">
        <v>76</v>
      </c>
      <c r="AJ183" t="s">
        <v>120</v>
      </c>
      <c r="AK183" t="s">
        <v>720</v>
      </c>
      <c r="AL183" t="s">
        <v>115</v>
      </c>
      <c r="AM183" t="s">
        <v>116</v>
      </c>
      <c r="AN183">
        <v>5</v>
      </c>
      <c r="AO183">
        <v>5</v>
      </c>
      <c r="AP183">
        <v>5</v>
      </c>
      <c r="AQ183" t="s">
        <v>721</v>
      </c>
      <c r="AR183" t="s">
        <v>472</v>
      </c>
      <c r="AS183" t="s">
        <v>471</v>
      </c>
      <c r="AT183" t="s">
        <v>76</v>
      </c>
      <c r="AU183" t="s">
        <v>75</v>
      </c>
      <c r="AV183">
        <v>0.74550000000000005</v>
      </c>
      <c r="AW183">
        <v>0.86839999999999995</v>
      </c>
      <c r="AX183">
        <v>0.93289999999999995</v>
      </c>
      <c r="AY183">
        <v>0.74550000000000005</v>
      </c>
      <c r="AZ183">
        <v>0.86839999999999995</v>
      </c>
      <c r="BA183">
        <v>0.93289999999999995</v>
      </c>
      <c r="BB183" t="s">
        <v>86</v>
      </c>
      <c r="BC183">
        <v>0.86839999999999995</v>
      </c>
      <c r="BD183">
        <v>0.74550000000000005</v>
      </c>
      <c r="BE183">
        <v>1</v>
      </c>
      <c r="BF183">
        <v>0.2054</v>
      </c>
      <c r="BG183">
        <v>5.7599999999999998E-2</v>
      </c>
      <c r="BH183">
        <v>2.6599999999999999E-2</v>
      </c>
      <c r="BI183">
        <v>5.7599999999999998E-2</v>
      </c>
      <c r="BJ183">
        <v>0.2054</v>
      </c>
      <c r="BK183" t="s">
        <v>75</v>
      </c>
    </row>
    <row r="184" spans="1:64" x14ac:dyDescent="0.55000000000000004">
      <c r="A184" t="s">
        <v>723</v>
      </c>
      <c r="B184">
        <v>48</v>
      </c>
      <c r="C184">
        <v>1</v>
      </c>
      <c r="D184">
        <v>1</v>
      </c>
      <c r="E184">
        <v>1</v>
      </c>
      <c r="F184">
        <v>48.1</v>
      </c>
      <c r="G184" t="s">
        <v>724</v>
      </c>
      <c r="H184" t="s">
        <v>725</v>
      </c>
      <c r="I184" t="s">
        <v>726</v>
      </c>
      <c r="J184">
        <v>2020</v>
      </c>
      <c r="K184" t="s">
        <v>556</v>
      </c>
      <c r="L184" t="s">
        <v>500</v>
      </c>
      <c r="M184" t="s">
        <v>217</v>
      </c>
      <c r="N184" t="s">
        <v>100</v>
      </c>
      <c r="O184" t="s">
        <v>727</v>
      </c>
      <c r="P184" t="s">
        <v>134</v>
      </c>
      <c r="Q184" t="s">
        <v>134</v>
      </c>
      <c r="R184" t="s">
        <v>75</v>
      </c>
      <c r="S184" t="s">
        <v>75</v>
      </c>
      <c r="T184" t="s">
        <v>76</v>
      </c>
      <c r="U184" t="s">
        <v>75</v>
      </c>
      <c r="V184" t="s">
        <v>75</v>
      </c>
      <c r="W184" t="s">
        <v>75</v>
      </c>
      <c r="X184" t="s">
        <v>135</v>
      </c>
      <c r="Y184" t="s">
        <v>135</v>
      </c>
      <c r="Z184" t="s">
        <v>77</v>
      </c>
      <c r="AA184" t="s">
        <v>112</v>
      </c>
      <c r="AB184" t="s">
        <v>134</v>
      </c>
      <c r="AC184" t="s">
        <v>179</v>
      </c>
      <c r="AD184" t="s">
        <v>112</v>
      </c>
      <c r="AE184" t="s">
        <v>79</v>
      </c>
      <c r="AF184" t="s">
        <v>75</v>
      </c>
      <c r="AH184" t="s">
        <v>76</v>
      </c>
      <c r="AI184" t="s">
        <v>76</v>
      </c>
      <c r="AJ184" t="s">
        <v>134</v>
      </c>
      <c r="AK184" t="s">
        <v>115</v>
      </c>
      <c r="AL184" t="s">
        <v>115</v>
      </c>
      <c r="AM184" t="s">
        <v>116</v>
      </c>
      <c r="AN184">
        <v>11</v>
      </c>
      <c r="AO184">
        <v>11</v>
      </c>
      <c r="AP184">
        <v>11</v>
      </c>
      <c r="AQ184" t="s">
        <v>600</v>
      </c>
      <c r="AR184" t="s">
        <v>472</v>
      </c>
      <c r="AS184" t="s">
        <v>471</v>
      </c>
      <c r="AT184" t="s">
        <v>76</v>
      </c>
      <c r="AU184" t="s">
        <v>75</v>
      </c>
      <c r="AV184">
        <v>0.89770000000000005</v>
      </c>
      <c r="AW184">
        <v>0.84199999999999997</v>
      </c>
      <c r="AX184">
        <v>0.91359999999999997</v>
      </c>
      <c r="AY184">
        <v>0.89770000000000005</v>
      </c>
      <c r="AZ184">
        <v>0.84199999999999997</v>
      </c>
      <c r="BA184">
        <v>0.91359999999999997</v>
      </c>
      <c r="BB184" t="s">
        <v>79</v>
      </c>
      <c r="BC184">
        <v>0.89770000000000005</v>
      </c>
      <c r="BD184">
        <v>0.84199999999999997</v>
      </c>
      <c r="BE184">
        <v>1</v>
      </c>
      <c r="BF184">
        <v>7.8100000000000003E-2</v>
      </c>
      <c r="BG184">
        <v>4.8899999999999999E-2</v>
      </c>
      <c r="BH184">
        <v>5.8299999999999998E-2</v>
      </c>
      <c r="BI184">
        <v>7.8120350000000005E-2</v>
      </c>
      <c r="BJ184">
        <v>4.8899999999999999E-2</v>
      </c>
      <c r="BK184" t="s">
        <v>75</v>
      </c>
      <c r="BL184" t="s">
        <v>728</v>
      </c>
    </row>
    <row r="185" spans="1:64" x14ac:dyDescent="0.55000000000000004">
      <c r="A185" t="s">
        <v>729</v>
      </c>
      <c r="B185">
        <v>49</v>
      </c>
      <c r="C185">
        <v>1</v>
      </c>
      <c r="D185">
        <v>1</v>
      </c>
      <c r="E185">
        <v>1</v>
      </c>
      <c r="F185">
        <v>49.1</v>
      </c>
      <c r="G185" t="s">
        <v>730</v>
      </c>
      <c r="H185" t="s">
        <v>731</v>
      </c>
      <c r="I185" t="s">
        <v>732</v>
      </c>
      <c r="J185">
        <v>2022</v>
      </c>
      <c r="K185" t="s">
        <v>556</v>
      </c>
      <c r="L185" t="s">
        <v>396</v>
      </c>
      <c r="M185" t="s">
        <v>99</v>
      </c>
      <c r="N185" t="s">
        <v>100</v>
      </c>
      <c r="O185" t="s">
        <v>733</v>
      </c>
      <c r="P185" t="s">
        <v>134</v>
      </c>
      <c r="Q185" t="s">
        <v>134</v>
      </c>
      <c r="R185" t="s">
        <v>75</v>
      </c>
      <c r="S185" t="s">
        <v>75</v>
      </c>
      <c r="T185" t="s">
        <v>76</v>
      </c>
      <c r="U185" t="s">
        <v>75</v>
      </c>
      <c r="V185" t="s">
        <v>75</v>
      </c>
      <c r="W185" t="s">
        <v>75</v>
      </c>
      <c r="X185" t="s">
        <v>111</v>
      </c>
      <c r="Y185" t="s">
        <v>111</v>
      </c>
      <c r="Z185" t="s">
        <v>77</v>
      </c>
      <c r="AA185" t="s">
        <v>235</v>
      </c>
      <c r="AB185" t="s">
        <v>134</v>
      </c>
      <c r="AC185" t="s">
        <v>113</v>
      </c>
      <c r="AD185" t="s">
        <v>235</v>
      </c>
      <c r="AE185" t="s">
        <v>79</v>
      </c>
      <c r="AF185" t="s">
        <v>75</v>
      </c>
      <c r="AG185" t="s">
        <v>734</v>
      </c>
      <c r="AH185" t="s">
        <v>75</v>
      </c>
      <c r="AI185" t="s">
        <v>75</v>
      </c>
      <c r="AK185" t="s">
        <v>115</v>
      </c>
      <c r="AL185" t="s">
        <v>115</v>
      </c>
      <c r="AM185" t="s">
        <v>116</v>
      </c>
      <c r="AN185">
        <v>160</v>
      </c>
      <c r="AO185">
        <v>45</v>
      </c>
      <c r="AP185">
        <v>45</v>
      </c>
      <c r="AQ185" t="s">
        <v>84</v>
      </c>
      <c r="AR185" t="s">
        <v>84</v>
      </c>
      <c r="AS185" t="s">
        <v>85</v>
      </c>
      <c r="AT185" t="s">
        <v>75</v>
      </c>
      <c r="AU185" t="s">
        <v>76</v>
      </c>
      <c r="AV185">
        <v>0.66610000000000003</v>
      </c>
      <c r="AW185">
        <v>0.5</v>
      </c>
      <c r="AX185">
        <v>0.66620000000000001</v>
      </c>
      <c r="AY185">
        <v>0.66610000000000003</v>
      </c>
      <c r="AZ185">
        <v>0.5</v>
      </c>
      <c r="BA185">
        <v>0.66620000000000001</v>
      </c>
      <c r="BB185" t="s">
        <v>79</v>
      </c>
      <c r="BC185">
        <v>0.66610000000000003</v>
      </c>
      <c r="BD185">
        <v>0.5</v>
      </c>
      <c r="BE185">
        <v>1</v>
      </c>
      <c r="BF185">
        <v>5.6599999999999998E-2</v>
      </c>
      <c r="BG185">
        <v>0</v>
      </c>
      <c r="BH185">
        <v>5.5500000000000001E-2</v>
      </c>
      <c r="BI185">
        <v>5.6640000000000003E-2</v>
      </c>
      <c r="BJ185">
        <v>0</v>
      </c>
      <c r="BK185" t="s">
        <v>75</v>
      </c>
    </row>
    <row r="186" spans="1:64" x14ac:dyDescent="0.55000000000000004">
      <c r="A186" t="s">
        <v>735</v>
      </c>
      <c r="B186">
        <v>52</v>
      </c>
      <c r="C186">
        <v>1</v>
      </c>
      <c r="D186">
        <v>1</v>
      </c>
      <c r="E186">
        <v>1</v>
      </c>
      <c r="F186">
        <v>52.1</v>
      </c>
      <c r="G186" t="s">
        <v>736</v>
      </c>
      <c r="H186" t="s">
        <v>737</v>
      </c>
      <c r="I186" t="s">
        <v>738</v>
      </c>
      <c r="J186">
        <v>2020</v>
      </c>
      <c r="K186" t="s">
        <v>556</v>
      </c>
      <c r="L186" t="s">
        <v>739</v>
      </c>
      <c r="M186" t="s">
        <v>217</v>
      </c>
      <c r="N186" t="s">
        <v>100</v>
      </c>
      <c r="O186" t="s">
        <v>740</v>
      </c>
      <c r="P186" t="s">
        <v>134</v>
      </c>
      <c r="Q186" t="s">
        <v>134</v>
      </c>
      <c r="R186" t="s">
        <v>75</v>
      </c>
      <c r="S186" t="s">
        <v>75</v>
      </c>
      <c r="T186" t="s">
        <v>76</v>
      </c>
      <c r="U186" t="s">
        <v>75</v>
      </c>
      <c r="V186" t="s">
        <v>75</v>
      </c>
      <c r="W186" t="s">
        <v>75</v>
      </c>
      <c r="X186" t="s">
        <v>135</v>
      </c>
      <c r="Y186" t="s">
        <v>135</v>
      </c>
      <c r="Z186" t="s">
        <v>77</v>
      </c>
      <c r="AA186" t="s">
        <v>112</v>
      </c>
      <c r="AB186" t="s">
        <v>134</v>
      </c>
      <c r="AC186" t="s">
        <v>135</v>
      </c>
      <c r="AD186" t="s">
        <v>112</v>
      </c>
      <c r="AE186" t="s">
        <v>79</v>
      </c>
      <c r="AF186" t="s">
        <v>75</v>
      </c>
      <c r="AG186" t="s">
        <v>741</v>
      </c>
      <c r="AH186" t="s">
        <v>76</v>
      </c>
      <c r="AI186" t="s">
        <v>75</v>
      </c>
      <c r="AJ186" t="s">
        <v>134</v>
      </c>
      <c r="AK186" t="s">
        <v>115</v>
      </c>
      <c r="AL186" t="s">
        <v>115</v>
      </c>
      <c r="AM186" t="s">
        <v>116</v>
      </c>
      <c r="AN186">
        <v>6</v>
      </c>
      <c r="AO186">
        <v>6</v>
      </c>
      <c r="AP186">
        <v>6</v>
      </c>
      <c r="AQ186" t="s">
        <v>644</v>
      </c>
      <c r="AR186" t="s">
        <v>472</v>
      </c>
      <c r="AS186" t="s">
        <v>637</v>
      </c>
      <c r="AT186" t="s">
        <v>76</v>
      </c>
      <c r="AU186" t="s">
        <v>75</v>
      </c>
      <c r="AV186">
        <v>0.84570000000000001</v>
      </c>
      <c r="AW186">
        <v>0.96</v>
      </c>
      <c r="AX186">
        <v>0.89859999999999995</v>
      </c>
      <c r="AY186">
        <v>0.84570000000000001</v>
      </c>
      <c r="AZ186">
        <v>0.96</v>
      </c>
      <c r="BA186">
        <v>0.89859999999999995</v>
      </c>
      <c r="BB186" t="s">
        <v>86</v>
      </c>
      <c r="BC186">
        <v>0.96</v>
      </c>
      <c r="BD186">
        <v>0.84570000000000001</v>
      </c>
      <c r="BE186">
        <v>0</v>
      </c>
      <c r="BF186">
        <v>4.6899999999999997E-2</v>
      </c>
      <c r="BG186">
        <v>0</v>
      </c>
      <c r="BH186">
        <v>3.3399999999999999E-2</v>
      </c>
      <c r="BI186">
        <v>0</v>
      </c>
      <c r="BJ186">
        <v>4.6899999999999997E-2</v>
      </c>
      <c r="BK186" t="s">
        <v>75</v>
      </c>
    </row>
    <row r="187" spans="1:64" x14ac:dyDescent="0.55000000000000004">
      <c r="A187" t="s">
        <v>735</v>
      </c>
      <c r="B187">
        <v>52</v>
      </c>
      <c r="C187">
        <v>1</v>
      </c>
      <c r="D187">
        <v>1</v>
      </c>
      <c r="E187">
        <v>2</v>
      </c>
      <c r="F187">
        <v>52.1</v>
      </c>
      <c r="G187" t="s">
        <v>742</v>
      </c>
      <c r="H187" t="s">
        <v>737</v>
      </c>
      <c r="I187" t="s">
        <v>738</v>
      </c>
      <c r="J187">
        <v>2020</v>
      </c>
      <c r="K187" t="s">
        <v>556</v>
      </c>
      <c r="L187" t="s">
        <v>739</v>
      </c>
      <c r="M187" t="s">
        <v>217</v>
      </c>
      <c r="N187" t="s">
        <v>100</v>
      </c>
      <c r="O187" t="s">
        <v>740</v>
      </c>
      <c r="P187" t="s">
        <v>134</v>
      </c>
      <c r="Q187" t="s">
        <v>134</v>
      </c>
      <c r="R187" t="s">
        <v>75</v>
      </c>
      <c r="S187" t="s">
        <v>75</v>
      </c>
      <c r="T187" t="s">
        <v>76</v>
      </c>
      <c r="U187" t="s">
        <v>75</v>
      </c>
      <c r="V187" t="s">
        <v>75</v>
      </c>
      <c r="W187" t="s">
        <v>75</v>
      </c>
      <c r="X187" t="s">
        <v>135</v>
      </c>
      <c r="Y187" t="s">
        <v>135</v>
      </c>
      <c r="Z187" t="s">
        <v>77</v>
      </c>
      <c r="AA187" t="s">
        <v>112</v>
      </c>
      <c r="AB187" t="s">
        <v>134</v>
      </c>
      <c r="AC187" t="s">
        <v>135</v>
      </c>
      <c r="AD187" t="s">
        <v>112</v>
      </c>
      <c r="AE187" t="s">
        <v>79</v>
      </c>
      <c r="AF187" t="s">
        <v>75</v>
      </c>
      <c r="AG187" t="s">
        <v>743</v>
      </c>
      <c r="AH187" t="s">
        <v>76</v>
      </c>
      <c r="AI187" t="s">
        <v>75</v>
      </c>
      <c r="AJ187" t="s">
        <v>134</v>
      </c>
      <c r="AK187" t="s">
        <v>692</v>
      </c>
      <c r="AL187" t="s">
        <v>115</v>
      </c>
      <c r="AM187" t="s">
        <v>116</v>
      </c>
      <c r="AN187">
        <v>6</v>
      </c>
      <c r="AO187">
        <v>6</v>
      </c>
      <c r="AP187">
        <v>6</v>
      </c>
      <c r="AQ187" t="s">
        <v>644</v>
      </c>
      <c r="AR187" t="s">
        <v>472</v>
      </c>
      <c r="AS187" t="s">
        <v>637</v>
      </c>
      <c r="AT187" t="s">
        <v>76</v>
      </c>
      <c r="AU187" t="s">
        <v>75</v>
      </c>
      <c r="AV187">
        <v>0.81569999999999998</v>
      </c>
      <c r="AW187">
        <v>0.95</v>
      </c>
      <c r="AX187">
        <v>0.88139999999999996</v>
      </c>
      <c r="AY187">
        <v>0.81569999999999998</v>
      </c>
      <c r="AZ187">
        <v>0.95</v>
      </c>
      <c r="BA187">
        <v>0.88139999999999996</v>
      </c>
      <c r="BB187" t="s">
        <v>86</v>
      </c>
      <c r="BC187">
        <v>0.95</v>
      </c>
      <c r="BD187">
        <v>0.81569999999999998</v>
      </c>
      <c r="BE187">
        <v>0</v>
      </c>
      <c r="BF187">
        <v>0.16600000000000001</v>
      </c>
      <c r="BG187">
        <v>0</v>
      </c>
      <c r="BH187">
        <v>5.8099999999999999E-2</v>
      </c>
      <c r="BI187">
        <v>0</v>
      </c>
      <c r="BJ187">
        <v>0.16600000000000001</v>
      </c>
      <c r="BK187" t="s">
        <v>75</v>
      </c>
    </row>
    <row r="188" spans="1:64" x14ac:dyDescent="0.55000000000000004">
      <c r="A188" t="s">
        <v>735</v>
      </c>
      <c r="B188">
        <v>52</v>
      </c>
      <c r="C188">
        <v>1</v>
      </c>
      <c r="D188">
        <v>1</v>
      </c>
      <c r="E188">
        <v>3</v>
      </c>
      <c r="F188">
        <v>52.1</v>
      </c>
      <c r="G188" t="s">
        <v>744</v>
      </c>
      <c r="H188" t="s">
        <v>737</v>
      </c>
      <c r="I188" t="s">
        <v>738</v>
      </c>
      <c r="J188">
        <v>2020</v>
      </c>
      <c r="K188" t="s">
        <v>556</v>
      </c>
      <c r="L188" t="s">
        <v>739</v>
      </c>
      <c r="M188" t="s">
        <v>217</v>
      </c>
      <c r="N188" t="s">
        <v>100</v>
      </c>
      <c r="O188" t="s">
        <v>740</v>
      </c>
      <c r="P188" t="s">
        <v>134</v>
      </c>
      <c r="Q188" t="s">
        <v>134</v>
      </c>
      <c r="R188" t="s">
        <v>75</v>
      </c>
      <c r="S188" t="s">
        <v>75</v>
      </c>
      <c r="T188" t="s">
        <v>76</v>
      </c>
      <c r="U188" t="s">
        <v>75</v>
      </c>
      <c r="V188" t="s">
        <v>75</v>
      </c>
      <c r="W188" t="s">
        <v>75</v>
      </c>
      <c r="X188" t="s">
        <v>135</v>
      </c>
      <c r="Y188" t="s">
        <v>135</v>
      </c>
      <c r="Z188" t="s">
        <v>77</v>
      </c>
      <c r="AA188" t="s">
        <v>112</v>
      </c>
      <c r="AB188" t="s">
        <v>134</v>
      </c>
      <c r="AC188" t="s">
        <v>135</v>
      </c>
      <c r="AD188" t="s">
        <v>112</v>
      </c>
      <c r="AE188" t="s">
        <v>79</v>
      </c>
      <c r="AF188" t="s">
        <v>75</v>
      </c>
      <c r="AH188" t="s">
        <v>76</v>
      </c>
      <c r="AI188" t="s">
        <v>75</v>
      </c>
      <c r="AJ188" t="s">
        <v>134</v>
      </c>
      <c r="AK188" t="s">
        <v>689</v>
      </c>
      <c r="AL188" t="s">
        <v>115</v>
      </c>
      <c r="AM188" t="s">
        <v>116</v>
      </c>
      <c r="AN188">
        <v>6</v>
      </c>
      <c r="AO188">
        <v>6</v>
      </c>
      <c r="AP188">
        <v>6</v>
      </c>
      <c r="AQ188" t="s">
        <v>644</v>
      </c>
      <c r="AR188" t="s">
        <v>472</v>
      </c>
      <c r="AS188" t="s">
        <v>637</v>
      </c>
      <c r="AT188" t="s">
        <v>76</v>
      </c>
      <c r="AU188" t="s">
        <v>75</v>
      </c>
      <c r="AV188">
        <v>0.87570000000000003</v>
      </c>
      <c r="AW188">
        <v>0.96</v>
      </c>
      <c r="AX188">
        <v>0.91290000000000004</v>
      </c>
      <c r="AY188">
        <v>0.87570000000000003</v>
      </c>
      <c r="AZ188">
        <v>0.96</v>
      </c>
      <c r="BA188">
        <v>0.91290000000000004</v>
      </c>
      <c r="BB188" t="s">
        <v>86</v>
      </c>
      <c r="BC188">
        <v>0.96</v>
      </c>
      <c r="BD188">
        <v>0.87570000000000003</v>
      </c>
      <c r="BE188">
        <v>0</v>
      </c>
      <c r="BF188">
        <v>8.3000000000000004E-2</v>
      </c>
      <c r="BG188">
        <v>0</v>
      </c>
      <c r="BH188">
        <v>6.6799999999999998E-2</v>
      </c>
      <c r="BI188">
        <v>0</v>
      </c>
      <c r="BJ188">
        <v>8.3000000000000004E-2</v>
      </c>
      <c r="BK188" t="s">
        <v>75</v>
      </c>
    </row>
    <row r="189" spans="1:64" x14ac:dyDescent="0.55000000000000004">
      <c r="A189" t="s">
        <v>745</v>
      </c>
      <c r="B189">
        <v>53</v>
      </c>
      <c r="C189">
        <v>1</v>
      </c>
      <c r="D189">
        <v>1</v>
      </c>
      <c r="E189">
        <v>1</v>
      </c>
      <c r="F189">
        <v>53.1</v>
      </c>
      <c r="G189" t="s">
        <v>746</v>
      </c>
      <c r="H189" t="s">
        <v>747</v>
      </c>
      <c r="I189" t="s">
        <v>748</v>
      </c>
      <c r="J189">
        <v>2022</v>
      </c>
      <c r="K189" t="s">
        <v>556</v>
      </c>
      <c r="L189" t="s">
        <v>739</v>
      </c>
      <c r="M189" t="s">
        <v>217</v>
      </c>
      <c r="N189" t="s">
        <v>100</v>
      </c>
      <c r="O189" t="s">
        <v>749</v>
      </c>
      <c r="P189" t="s">
        <v>134</v>
      </c>
      <c r="Q189" t="s">
        <v>134</v>
      </c>
      <c r="R189" t="s">
        <v>75</v>
      </c>
      <c r="S189" t="s">
        <v>75</v>
      </c>
      <c r="T189" t="s">
        <v>76</v>
      </c>
      <c r="U189" t="s">
        <v>75</v>
      </c>
      <c r="V189" t="s">
        <v>75</v>
      </c>
      <c r="W189" t="s">
        <v>75</v>
      </c>
      <c r="X189" t="s">
        <v>135</v>
      </c>
      <c r="Y189" t="s">
        <v>135</v>
      </c>
      <c r="Z189" t="s">
        <v>77</v>
      </c>
      <c r="AA189" t="s">
        <v>112</v>
      </c>
      <c r="AB189" t="s">
        <v>134</v>
      </c>
      <c r="AC189" t="s">
        <v>135</v>
      </c>
      <c r="AD189" t="s">
        <v>112</v>
      </c>
      <c r="AE189" t="s">
        <v>79</v>
      </c>
      <c r="AF189" t="s">
        <v>75</v>
      </c>
      <c r="AH189" t="s">
        <v>76</v>
      </c>
      <c r="AI189" t="s">
        <v>75</v>
      </c>
      <c r="AJ189" t="s">
        <v>134</v>
      </c>
      <c r="AK189" t="s">
        <v>692</v>
      </c>
      <c r="AL189" t="s">
        <v>115</v>
      </c>
      <c r="AM189" t="s">
        <v>116</v>
      </c>
      <c r="AN189">
        <v>24</v>
      </c>
      <c r="AO189">
        <v>24</v>
      </c>
      <c r="AP189">
        <v>24</v>
      </c>
      <c r="AQ189" t="s">
        <v>750</v>
      </c>
      <c r="AR189" t="s">
        <v>472</v>
      </c>
      <c r="AS189" t="s">
        <v>471</v>
      </c>
      <c r="AT189" t="s">
        <v>76</v>
      </c>
      <c r="AU189" t="s">
        <v>75</v>
      </c>
      <c r="AV189">
        <v>0.64800000000000002</v>
      </c>
      <c r="AW189">
        <v>0.88</v>
      </c>
      <c r="AX189">
        <v>0.752</v>
      </c>
      <c r="AY189">
        <v>0.64800000000000002</v>
      </c>
      <c r="AZ189">
        <v>0.88</v>
      </c>
      <c r="BA189">
        <v>0.752</v>
      </c>
      <c r="BB189" t="s">
        <v>86</v>
      </c>
      <c r="BC189">
        <v>0.88</v>
      </c>
      <c r="BD189">
        <v>0.64800000000000002</v>
      </c>
      <c r="BE189">
        <v>0</v>
      </c>
      <c r="BF189">
        <v>9.4E-2</v>
      </c>
      <c r="BG189">
        <v>0</v>
      </c>
      <c r="BH189">
        <v>5.8999999999999997E-2</v>
      </c>
      <c r="BI189">
        <v>0</v>
      </c>
      <c r="BJ189">
        <v>9.4E-2</v>
      </c>
      <c r="BK189" t="s">
        <v>75</v>
      </c>
    </row>
    <row r="190" spans="1:64" x14ac:dyDescent="0.55000000000000004">
      <c r="A190" t="s">
        <v>745</v>
      </c>
      <c r="B190">
        <v>53</v>
      </c>
      <c r="C190">
        <v>1</v>
      </c>
      <c r="D190">
        <v>1</v>
      </c>
      <c r="E190">
        <v>2</v>
      </c>
      <c r="F190">
        <v>53.1</v>
      </c>
      <c r="G190" t="s">
        <v>751</v>
      </c>
      <c r="H190" t="s">
        <v>747</v>
      </c>
      <c r="I190" t="s">
        <v>748</v>
      </c>
      <c r="J190">
        <v>2022</v>
      </c>
      <c r="K190" t="s">
        <v>556</v>
      </c>
      <c r="L190" t="s">
        <v>739</v>
      </c>
      <c r="M190" t="s">
        <v>217</v>
      </c>
      <c r="N190" t="s">
        <v>100</v>
      </c>
      <c r="O190" t="s">
        <v>749</v>
      </c>
      <c r="P190" t="s">
        <v>134</v>
      </c>
      <c r="Q190" t="s">
        <v>134</v>
      </c>
      <c r="R190" t="s">
        <v>75</v>
      </c>
      <c r="S190" t="s">
        <v>75</v>
      </c>
      <c r="T190" t="s">
        <v>76</v>
      </c>
      <c r="U190" t="s">
        <v>75</v>
      </c>
      <c r="V190" t="s">
        <v>75</v>
      </c>
      <c r="W190" t="s">
        <v>75</v>
      </c>
      <c r="X190" t="s">
        <v>135</v>
      </c>
      <c r="Y190" t="s">
        <v>135</v>
      </c>
      <c r="Z190" t="s">
        <v>77</v>
      </c>
      <c r="AA190" t="s">
        <v>112</v>
      </c>
      <c r="AB190" t="s">
        <v>134</v>
      </c>
      <c r="AC190" t="s">
        <v>135</v>
      </c>
      <c r="AD190" t="s">
        <v>112</v>
      </c>
      <c r="AE190" t="s">
        <v>79</v>
      </c>
      <c r="AF190" t="s">
        <v>75</v>
      </c>
      <c r="AH190" t="s">
        <v>76</v>
      </c>
      <c r="AI190" t="s">
        <v>75</v>
      </c>
      <c r="AJ190" t="s">
        <v>134</v>
      </c>
      <c r="AK190" t="s">
        <v>689</v>
      </c>
      <c r="AL190" t="s">
        <v>115</v>
      </c>
      <c r="AM190" t="s">
        <v>116</v>
      </c>
      <c r="AN190">
        <v>24</v>
      </c>
      <c r="AO190">
        <v>24</v>
      </c>
      <c r="AP190">
        <v>24</v>
      </c>
      <c r="AQ190" t="s">
        <v>750</v>
      </c>
      <c r="AR190" t="s">
        <v>472</v>
      </c>
      <c r="AS190" t="s">
        <v>471</v>
      </c>
      <c r="AT190" t="s">
        <v>76</v>
      </c>
      <c r="AU190" t="s">
        <v>75</v>
      </c>
      <c r="AV190">
        <v>0.90600000000000003</v>
      </c>
      <c r="AW190">
        <v>0.88</v>
      </c>
      <c r="AX190">
        <v>0.95599999999999996</v>
      </c>
      <c r="AY190">
        <v>0.90600000000000003</v>
      </c>
      <c r="AZ190">
        <v>0.88</v>
      </c>
      <c r="BA190">
        <v>0.95599999999999996</v>
      </c>
      <c r="BB190" t="s">
        <v>79</v>
      </c>
      <c r="BC190">
        <v>0.90600000000000003</v>
      </c>
      <c r="BD190">
        <v>0.88</v>
      </c>
      <c r="BE190">
        <v>1</v>
      </c>
      <c r="BF190">
        <v>0.08</v>
      </c>
      <c r="BG190">
        <v>0</v>
      </c>
      <c r="BH190">
        <v>2.8000000000000001E-2</v>
      </c>
      <c r="BI190">
        <v>0.08</v>
      </c>
      <c r="BJ190">
        <v>0</v>
      </c>
      <c r="BK190" t="s">
        <v>75</v>
      </c>
    </row>
    <row r="191" spans="1:64" x14ac:dyDescent="0.55000000000000004">
      <c r="A191" t="s">
        <v>752</v>
      </c>
      <c r="B191">
        <v>54</v>
      </c>
      <c r="C191">
        <v>1</v>
      </c>
      <c r="D191">
        <v>1</v>
      </c>
      <c r="E191">
        <v>1</v>
      </c>
      <c r="F191">
        <v>54.1</v>
      </c>
      <c r="G191" t="s">
        <v>753</v>
      </c>
      <c r="H191" t="s">
        <v>754</v>
      </c>
      <c r="I191" t="s">
        <v>755</v>
      </c>
      <c r="J191">
        <v>2022</v>
      </c>
      <c r="K191" t="s">
        <v>556</v>
      </c>
      <c r="L191" t="s">
        <v>756</v>
      </c>
      <c r="M191" t="s">
        <v>217</v>
      </c>
      <c r="N191" t="s">
        <v>100</v>
      </c>
      <c r="O191" t="s">
        <v>757</v>
      </c>
      <c r="P191" t="s">
        <v>134</v>
      </c>
      <c r="Q191" t="s">
        <v>134</v>
      </c>
      <c r="R191" t="s">
        <v>75</v>
      </c>
      <c r="S191" t="s">
        <v>75</v>
      </c>
      <c r="T191" t="s">
        <v>76</v>
      </c>
      <c r="U191" t="s">
        <v>75</v>
      </c>
      <c r="V191" t="s">
        <v>75</v>
      </c>
      <c r="W191" t="s">
        <v>75</v>
      </c>
      <c r="X191" t="s">
        <v>135</v>
      </c>
      <c r="Y191" t="s">
        <v>135</v>
      </c>
      <c r="Z191" t="s">
        <v>77</v>
      </c>
      <c r="AA191" t="s">
        <v>112</v>
      </c>
      <c r="AB191" t="s">
        <v>134</v>
      </c>
      <c r="AC191" t="s">
        <v>135</v>
      </c>
      <c r="AD191" t="s">
        <v>112</v>
      </c>
      <c r="AE191" t="s">
        <v>79</v>
      </c>
      <c r="AF191" t="s">
        <v>75</v>
      </c>
      <c r="AH191" t="s">
        <v>76</v>
      </c>
      <c r="AI191" t="s">
        <v>75</v>
      </c>
      <c r="AJ191" t="s">
        <v>134</v>
      </c>
      <c r="AK191" t="s">
        <v>692</v>
      </c>
      <c r="AL191" t="s">
        <v>115</v>
      </c>
      <c r="AM191" t="s">
        <v>116</v>
      </c>
      <c r="AN191">
        <v>6</v>
      </c>
      <c r="AO191">
        <v>6</v>
      </c>
      <c r="AP191">
        <v>6</v>
      </c>
      <c r="AQ191" t="s">
        <v>750</v>
      </c>
      <c r="AR191" t="s">
        <v>472</v>
      </c>
      <c r="AS191" t="s">
        <v>471</v>
      </c>
      <c r="AT191" t="s">
        <v>76</v>
      </c>
      <c r="AU191" t="s">
        <v>75</v>
      </c>
      <c r="AV191">
        <v>0.96719999999999995</v>
      </c>
      <c r="AW191">
        <v>0.93300000000000005</v>
      </c>
      <c r="AX191">
        <v>0.96750000000000003</v>
      </c>
      <c r="AY191">
        <v>0.96719999999999995</v>
      </c>
      <c r="AZ191">
        <v>0.93300000000000005</v>
      </c>
      <c r="BA191">
        <v>0.96750000000000003</v>
      </c>
      <c r="BB191" t="s">
        <v>79</v>
      </c>
      <c r="BC191">
        <v>0.96719999999999995</v>
      </c>
      <c r="BD191">
        <v>0.93300000000000005</v>
      </c>
      <c r="BE191">
        <v>1</v>
      </c>
      <c r="BF191">
        <v>2.1299999999999999E-2</v>
      </c>
      <c r="BG191">
        <v>4.2500000000000003E-2</v>
      </c>
      <c r="BH191">
        <v>3.3099999999999997E-2</v>
      </c>
      <c r="BI191">
        <v>2.1292409000000002E-2</v>
      </c>
      <c r="BJ191">
        <v>4.2500000000000003E-2</v>
      </c>
      <c r="BK191" t="s">
        <v>75</v>
      </c>
    </row>
    <row r="192" spans="1:64" x14ac:dyDescent="0.55000000000000004">
      <c r="A192" t="s">
        <v>752</v>
      </c>
      <c r="B192">
        <v>54</v>
      </c>
      <c r="C192">
        <v>1</v>
      </c>
      <c r="D192">
        <v>1</v>
      </c>
      <c r="E192">
        <v>2</v>
      </c>
      <c r="F192">
        <v>54.1</v>
      </c>
      <c r="G192" t="s">
        <v>758</v>
      </c>
      <c r="H192" t="s">
        <v>754</v>
      </c>
      <c r="I192" t="s">
        <v>755</v>
      </c>
      <c r="J192">
        <v>2022</v>
      </c>
      <c r="K192" t="s">
        <v>556</v>
      </c>
      <c r="L192" t="s">
        <v>756</v>
      </c>
      <c r="M192" t="s">
        <v>217</v>
      </c>
      <c r="N192" t="s">
        <v>100</v>
      </c>
      <c r="O192" t="s">
        <v>757</v>
      </c>
      <c r="P192" t="s">
        <v>134</v>
      </c>
      <c r="Q192" t="s">
        <v>134</v>
      </c>
      <c r="R192" t="s">
        <v>75</v>
      </c>
      <c r="S192" t="s">
        <v>75</v>
      </c>
      <c r="T192" t="s">
        <v>76</v>
      </c>
      <c r="U192" t="s">
        <v>75</v>
      </c>
      <c r="V192" t="s">
        <v>75</v>
      </c>
      <c r="W192" t="s">
        <v>75</v>
      </c>
      <c r="X192" t="s">
        <v>135</v>
      </c>
      <c r="Y192" t="s">
        <v>135</v>
      </c>
      <c r="Z192" t="s">
        <v>77</v>
      </c>
      <c r="AA192" t="s">
        <v>112</v>
      </c>
      <c r="AB192" t="s">
        <v>134</v>
      </c>
      <c r="AC192" t="s">
        <v>135</v>
      </c>
      <c r="AD192" t="s">
        <v>112</v>
      </c>
      <c r="AE192" t="s">
        <v>79</v>
      </c>
      <c r="AF192" t="s">
        <v>75</v>
      </c>
      <c r="AH192" t="s">
        <v>76</v>
      </c>
      <c r="AI192" t="s">
        <v>75</v>
      </c>
      <c r="AJ192" t="s">
        <v>134</v>
      </c>
      <c r="AK192" t="s">
        <v>689</v>
      </c>
      <c r="AL192" t="s">
        <v>115</v>
      </c>
      <c r="AM192" t="s">
        <v>116</v>
      </c>
      <c r="AN192">
        <v>6</v>
      </c>
      <c r="AO192">
        <v>6</v>
      </c>
      <c r="AP192">
        <v>6</v>
      </c>
      <c r="AQ192" t="s">
        <v>750</v>
      </c>
      <c r="AR192" t="s">
        <v>472</v>
      </c>
      <c r="AS192" t="s">
        <v>471</v>
      </c>
      <c r="AT192" t="s">
        <v>76</v>
      </c>
      <c r="AU192" t="s">
        <v>75</v>
      </c>
      <c r="AV192">
        <v>0.93079999999999996</v>
      </c>
      <c r="AW192">
        <v>0.94799999999999995</v>
      </c>
      <c r="AX192">
        <v>0.95799999999999996</v>
      </c>
      <c r="AY192">
        <v>0.93079999999999996</v>
      </c>
      <c r="AZ192">
        <v>0.94799999999999995</v>
      </c>
      <c r="BA192">
        <v>0.95799999999999996</v>
      </c>
      <c r="BB192" t="s">
        <v>86</v>
      </c>
      <c r="BC192">
        <v>0.94799999999999995</v>
      </c>
      <c r="BD192">
        <v>0.93079999999999996</v>
      </c>
      <c r="BE192">
        <v>1</v>
      </c>
      <c r="BF192">
        <v>8.3199999999999996E-2</v>
      </c>
      <c r="BG192">
        <v>2.2499999999999999E-2</v>
      </c>
      <c r="BH192">
        <v>4.3400000000000001E-2</v>
      </c>
      <c r="BI192">
        <v>2.2495313999999999E-2</v>
      </c>
      <c r="BJ192">
        <v>8.3199999999999996E-2</v>
      </c>
      <c r="BK192" t="s">
        <v>75</v>
      </c>
    </row>
    <row r="193" spans="1:65" x14ac:dyDescent="0.55000000000000004">
      <c r="A193" t="s">
        <v>752</v>
      </c>
      <c r="B193">
        <v>54</v>
      </c>
      <c r="C193">
        <v>1</v>
      </c>
      <c r="D193">
        <v>1</v>
      </c>
      <c r="E193">
        <v>4</v>
      </c>
      <c r="F193">
        <v>54.1</v>
      </c>
      <c r="G193" t="s">
        <v>759</v>
      </c>
      <c r="H193" t="s">
        <v>754</v>
      </c>
      <c r="I193" t="s">
        <v>755</v>
      </c>
      <c r="J193">
        <v>2022</v>
      </c>
      <c r="K193" t="s">
        <v>556</v>
      </c>
      <c r="L193" t="s">
        <v>756</v>
      </c>
      <c r="M193" t="s">
        <v>217</v>
      </c>
      <c r="N193" t="s">
        <v>100</v>
      </c>
      <c r="O193" t="s">
        <v>760</v>
      </c>
      <c r="P193" t="s">
        <v>134</v>
      </c>
      <c r="Q193" t="s">
        <v>134</v>
      </c>
      <c r="R193" t="s">
        <v>75</v>
      </c>
      <c r="S193" t="s">
        <v>75</v>
      </c>
      <c r="T193" t="s">
        <v>76</v>
      </c>
      <c r="U193" t="s">
        <v>75</v>
      </c>
      <c r="V193" t="s">
        <v>75</v>
      </c>
      <c r="W193" t="s">
        <v>75</v>
      </c>
      <c r="X193" t="s">
        <v>135</v>
      </c>
      <c r="Y193" t="s">
        <v>135</v>
      </c>
      <c r="Z193" t="s">
        <v>77</v>
      </c>
      <c r="AA193" t="s">
        <v>112</v>
      </c>
      <c r="AB193" t="s">
        <v>134</v>
      </c>
      <c r="AC193" t="s">
        <v>135</v>
      </c>
      <c r="AD193" t="s">
        <v>112</v>
      </c>
      <c r="AE193" t="s">
        <v>79</v>
      </c>
      <c r="AF193" t="s">
        <v>75</v>
      </c>
      <c r="AH193" t="s">
        <v>76</v>
      </c>
      <c r="AI193" t="s">
        <v>75</v>
      </c>
      <c r="AJ193" t="s">
        <v>134</v>
      </c>
      <c r="AK193" t="s">
        <v>689</v>
      </c>
      <c r="AL193" t="s">
        <v>115</v>
      </c>
      <c r="AM193" t="s">
        <v>116</v>
      </c>
      <c r="AN193">
        <v>6</v>
      </c>
      <c r="AO193">
        <v>6</v>
      </c>
      <c r="AP193">
        <v>6</v>
      </c>
      <c r="AQ193" t="s">
        <v>750</v>
      </c>
      <c r="AR193" t="s">
        <v>472</v>
      </c>
      <c r="AS193" t="s">
        <v>471</v>
      </c>
      <c r="AT193" t="s">
        <v>76</v>
      </c>
      <c r="AU193" t="s">
        <v>75</v>
      </c>
      <c r="AV193">
        <v>0.94269999999999998</v>
      </c>
      <c r="AW193">
        <v>0.996</v>
      </c>
      <c r="AX193">
        <v>0.997</v>
      </c>
      <c r="AY193">
        <v>0.94269999999999998</v>
      </c>
      <c r="AZ193">
        <v>0.996</v>
      </c>
      <c r="BA193">
        <v>0.997</v>
      </c>
      <c r="BB193" t="s">
        <v>86</v>
      </c>
      <c r="BC193">
        <v>0.996</v>
      </c>
      <c r="BD193">
        <v>0.94269999999999998</v>
      </c>
      <c r="BE193">
        <v>1</v>
      </c>
      <c r="BF193">
        <v>2.5100000000000001E-2</v>
      </c>
      <c r="BG193">
        <v>8.6999999999999994E-3</v>
      </c>
      <c r="BH193">
        <v>1.1000000000000001E-3</v>
      </c>
      <c r="BI193">
        <v>8.7481780000000006E-3</v>
      </c>
      <c r="BJ193">
        <v>2.5100000000000001E-2</v>
      </c>
      <c r="BK193" t="s">
        <v>75</v>
      </c>
    </row>
    <row r="194" spans="1:65" x14ac:dyDescent="0.55000000000000004">
      <c r="A194" t="s">
        <v>761</v>
      </c>
      <c r="B194">
        <v>55</v>
      </c>
      <c r="C194">
        <v>1</v>
      </c>
      <c r="D194">
        <v>1</v>
      </c>
      <c r="E194">
        <v>1</v>
      </c>
      <c r="F194">
        <v>55.1</v>
      </c>
      <c r="G194" t="s">
        <v>762</v>
      </c>
      <c r="H194" t="s">
        <v>763</v>
      </c>
      <c r="I194" t="s">
        <v>764</v>
      </c>
      <c r="J194">
        <v>2020</v>
      </c>
      <c r="K194" t="s">
        <v>556</v>
      </c>
      <c r="L194" t="s">
        <v>765</v>
      </c>
      <c r="M194" t="s">
        <v>217</v>
      </c>
      <c r="N194" t="s">
        <v>100</v>
      </c>
      <c r="O194" t="s">
        <v>766</v>
      </c>
      <c r="P194" t="s">
        <v>134</v>
      </c>
      <c r="Q194" t="s">
        <v>134</v>
      </c>
      <c r="R194" t="s">
        <v>75</v>
      </c>
      <c r="S194" t="s">
        <v>75</v>
      </c>
      <c r="T194" t="s">
        <v>76</v>
      </c>
      <c r="U194" t="s">
        <v>75</v>
      </c>
      <c r="V194" t="s">
        <v>75</v>
      </c>
      <c r="W194" t="s">
        <v>75</v>
      </c>
      <c r="X194" t="s">
        <v>135</v>
      </c>
      <c r="Y194" t="s">
        <v>135</v>
      </c>
      <c r="Z194" t="s">
        <v>77</v>
      </c>
      <c r="AA194" t="s">
        <v>112</v>
      </c>
      <c r="AB194" t="s">
        <v>134</v>
      </c>
      <c r="AC194" t="s">
        <v>135</v>
      </c>
      <c r="AD194" t="s">
        <v>112</v>
      </c>
      <c r="AE194" t="s">
        <v>79</v>
      </c>
      <c r="AF194" t="s">
        <v>75</v>
      </c>
      <c r="AH194" t="s">
        <v>75</v>
      </c>
      <c r="AI194" t="s">
        <v>76</v>
      </c>
      <c r="AK194" t="s">
        <v>692</v>
      </c>
      <c r="AL194" t="s">
        <v>115</v>
      </c>
      <c r="AM194" t="s">
        <v>116</v>
      </c>
      <c r="AN194">
        <v>12</v>
      </c>
      <c r="AO194">
        <v>12</v>
      </c>
      <c r="AP194">
        <v>12</v>
      </c>
      <c r="AQ194" t="s">
        <v>527</v>
      </c>
      <c r="AR194" t="s">
        <v>472</v>
      </c>
      <c r="AS194" t="s">
        <v>561</v>
      </c>
      <c r="AT194" t="s">
        <v>76</v>
      </c>
      <c r="AU194" t="s">
        <v>75</v>
      </c>
      <c r="AV194">
        <v>0.59399999999999997</v>
      </c>
      <c r="AW194">
        <v>0.84699999999999998</v>
      </c>
      <c r="AX194">
        <v>0.746</v>
      </c>
      <c r="AY194">
        <v>0.59399999999999997</v>
      </c>
      <c r="AZ194">
        <v>0.84699999999999998</v>
      </c>
      <c r="BA194">
        <v>0.746</v>
      </c>
      <c r="BB194" t="s">
        <v>86</v>
      </c>
      <c r="BC194">
        <v>0.84699999999999998</v>
      </c>
      <c r="BD194">
        <v>0.59399999999999997</v>
      </c>
      <c r="BE194">
        <v>0</v>
      </c>
      <c r="BF194">
        <v>0.10780000000000001</v>
      </c>
      <c r="BG194">
        <v>4.9500000000000002E-2</v>
      </c>
      <c r="BH194">
        <v>8.3099999999999993E-2</v>
      </c>
      <c r="BI194">
        <v>4.9487165999999999E-2</v>
      </c>
      <c r="BJ194">
        <v>0.10780000000000001</v>
      </c>
      <c r="BK194" t="s">
        <v>75</v>
      </c>
    </row>
    <row r="195" spans="1:65" x14ac:dyDescent="0.55000000000000004">
      <c r="A195" t="s">
        <v>761</v>
      </c>
      <c r="B195">
        <v>55</v>
      </c>
      <c r="C195">
        <v>1</v>
      </c>
      <c r="D195">
        <v>1</v>
      </c>
      <c r="E195">
        <v>2</v>
      </c>
      <c r="F195">
        <v>55.1</v>
      </c>
      <c r="G195" t="s">
        <v>767</v>
      </c>
      <c r="H195" t="s">
        <v>763</v>
      </c>
      <c r="I195" t="s">
        <v>764</v>
      </c>
      <c r="J195">
        <v>2020</v>
      </c>
      <c r="K195" t="s">
        <v>556</v>
      </c>
      <c r="L195" t="s">
        <v>765</v>
      </c>
      <c r="M195" t="s">
        <v>217</v>
      </c>
      <c r="N195" t="s">
        <v>100</v>
      </c>
      <c r="O195" t="s">
        <v>766</v>
      </c>
      <c r="P195" t="s">
        <v>134</v>
      </c>
      <c r="Q195" t="s">
        <v>134</v>
      </c>
      <c r="R195" t="s">
        <v>75</v>
      </c>
      <c r="S195" t="s">
        <v>75</v>
      </c>
      <c r="T195" t="s">
        <v>76</v>
      </c>
      <c r="U195" t="s">
        <v>75</v>
      </c>
      <c r="V195" t="s">
        <v>75</v>
      </c>
      <c r="W195" t="s">
        <v>75</v>
      </c>
      <c r="X195" t="s">
        <v>135</v>
      </c>
      <c r="Y195" t="s">
        <v>135</v>
      </c>
      <c r="Z195" t="s">
        <v>77</v>
      </c>
      <c r="AA195" t="s">
        <v>112</v>
      </c>
      <c r="AB195" t="s">
        <v>134</v>
      </c>
      <c r="AC195" t="s">
        <v>135</v>
      </c>
      <c r="AD195" t="s">
        <v>112</v>
      </c>
      <c r="AE195" t="s">
        <v>79</v>
      </c>
      <c r="AF195" t="s">
        <v>75</v>
      </c>
      <c r="AH195" t="s">
        <v>75</v>
      </c>
      <c r="AI195" t="s">
        <v>76</v>
      </c>
      <c r="AK195" t="s">
        <v>689</v>
      </c>
      <c r="AL195" t="s">
        <v>115</v>
      </c>
      <c r="AM195" t="s">
        <v>116</v>
      </c>
      <c r="AN195">
        <v>12</v>
      </c>
      <c r="AO195">
        <v>12</v>
      </c>
      <c r="AP195">
        <v>12</v>
      </c>
      <c r="AQ195" t="s">
        <v>527</v>
      </c>
      <c r="AR195" t="s">
        <v>472</v>
      </c>
      <c r="AS195" t="s">
        <v>561</v>
      </c>
      <c r="AT195" t="s">
        <v>76</v>
      </c>
      <c r="AU195" t="s">
        <v>75</v>
      </c>
      <c r="AV195">
        <v>0.70599999999999996</v>
      </c>
      <c r="AW195">
        <v>0.79100000000000004</v>
      </c>
      <c r="AX195">
        <v>0.72399999999999998</v>
      </c>
      <c r="AY195">
        <v>0.70599999999999996</v>
      </c>
      <c r="AZ195">
        <v>0.79100000000000004</v>
      </c>
      <c r="BA195">
        <v>0.72399999999999998</v>
      </c>
      <c r="BB195" t="s">
        <v>86</v>
      </c>
      <c r="BC195">
        <v>0.79100000000000004</v>
      </c>
      <c r="BD195">
        <v>0.70599999999999996</v>
      </c>
      <c r="BE195">
        <v>0</v>
      </c>
      <c r="BF195">
        <v>0.1467</v>
      </c>
      <c r="BG195">
        <v>7.5999999999999998E-2</v>
      </c>
      <c r="BH195">
        <v>0.1096</v>
      </c>
      <c r="BI195">
        <v>7.5998148000000001E-2</v>
      </c>
      <c r="BJ195">
        <v>0.1467</v>
      </c>
      <c r="BK195" t="s">
        <v>75</v>
      </c>
    </row>
    <row r="196" spans="1:65" x14ac:dyDescent="0.55000000000000004">
      <c r="A196" t="s">
        <v>761</v>
      </c>
      <c r="B196">
        <v>55</v>
      </c>
      <c r="C196">
        <v>1</v>
      </c>
      <c r="D196">
        <v>1</v>
      </c>
      <c r="E196">
        <v>3</v>
      </c>
      <c r="F196">
        <v>55.1</v>
      </c>
      <c r="G196" t="s">
        <v>768</v>
      </c>
      <c r="H196" t="s">
        <v>763</v>
      </c>
      <c r="I196" t="s">
        <v>764</v>
      </c>
      <c r="J196">
        <v>2020</v>
      </c>
      <c r="K196" t="s">
        <v>556</v>
      </c>
      <c r="L196" t="s">
        <v>765</v>
      </c>
      <c r="M196" t="s">
        <v>217</v>
      </c>
      <c r="N196" t="s">
        <v>100</v>
      </c>
      <c r="O196" t="s">
        <v>766</v>
      </c>
      <c r="P196" t="s">
        <v>134</v>
      </c>
      <c r="Q196" t="s">
        <v>134</v>
      </c>
      <c r="R196" t="s">
        <v>75</v>
      </c>
      <c r="S196" t="s">
        <v>75</v>
      </c>
      <c r="T196" t="s">
        <v>76</v>
      </c>
      <c r="U196" t="s">
        <v>75</v>
      </c>
      <c r="V196" t="s">
        <v>75</v>
      </c>
      <c r="W196" t="s">
        <v>75</v>
      </c>
      <c r="X196" t="s">
        <v>135</v>
      </c>
      <c r="Y196" t="s">
        <v>135</v>
      </c>
      <c r="Z196" t="s">
        <v>77</v>
      </c>
      <c r="AA196" t="s">
        <v>112</v>
      </c>
      <c r="AB196" t="s">
        <v>134</v>
      </c>
      <c r="AC196" t="s">
        <v>135</v>
      </c>
      <c r="AD196" t="s">
        <v>112</v>
      </c>
      <c r="AE196" t="s">
        <v>79</v>
      </c>
      <c r="AF196" t="s">
        <v>75</v>
      </c>
      <c r="AH196" t="s">
        <v>75</v>
      </c>
      <c r="AI196" t="s">
        <v>76</v>
      </c>
      <c r="AK196" t="s">
        <v>115</v>
      </c>
      <c r="AL196" t="s">
        <v>115</v>
      </c>
      <c r="AM196" t="s">
        <v>116</v>
      </c>
      <c r="AN196">
        <v>12</v>
      </c>
      <c r="AO196">
        <v>12</v>
      </c>
      <c r="AP196">
        <v>12</v>
      </c>
      <c r="AQ196" t="s">
        <v>527</v>
      </c>
      <c r="AR196" t="s">
        <v>472</v>
      </c>
      <c r="AS196" t="s">
        <v>561</v>
      </c>
      <c r="AT196" t="s">
        <v>76</v>
      </c>
      <c r="AU196" t="s">
        <v>75</v>
      </c>
      <c r="AV196">
        <v>0.65</v>
      </c>
      <c r="AW196">
        <v>0.81899999999999995</v>
      </c>
      <c r="AX196">
        <v>0.73599999999999999</v>
      </c>
      <c r="AY196">
        <v>0.65</v>
      </c>
      <c r="AZ196">
        <v>0.81899999999999995</v>
      </c>
      <c r="BA196">
        <v>0.73599999999999999</v>
      </c>
      <c r="BB196" t="s">
        <v>86</v>
      </c>
      <c r="BC196">
        <v>0.81899999999999995</v>
      </c>
      <c r="BD196">
        <v>0.65</v>
      </c>
      <c r="BE196">
        <v>0</v>
      </c>
      <c r="BF196">
        <v>4.7699999999999999E-2</v>
      </c>
      <c r="BG196">
        <v>3.8899999999999997E-2</v>
      </c>
      <c r="BH196">
        <v>4.7699999999999999E-2</v>
      </c>
      <c r="BI196">
        <v>3.8882773000000002E-2</v>
      </c>
      <c r="BJ196">
        <v>4.7699999999999999E-2</v>
      </c>
      <c r="BK196" t="s">
        <v>75</v>
      </c>
      <c r="BL196" t="s">
        <v>769</v>
      </c>
    </row>
    <row r="197" spans="1:65" x14ac:dyDescent="0.55000000000000004">
      <c r="A197" t="s">
        <v>770</v>
      </c>
      <c r="B197">
        <v>57</v>
      </c>
      <c r="C197">
        <v>1</v>
      </c>
      <c r="D197">
        <v>1</v>
      </c>
      <c r="E197">
        <v>1</v>
      </c>
      <c r="F197">
        <v>57.1</v>
      </c>
      <c r="G197" t="s">
        <v>771</v>
      </c>
      <c r="H197" t="s">
        <v>772</v>
      </c>
      <c r="I197" t="s">
        <v>773</v>
      </c>
      <c r="J197">
        <v>2021</v>
      </c>
      <c r="K197" t="s">
        <v>556</v>
      </c>
      <c r="L197" t="s">
        <v>774</v>
      </c>
      <c r="M197" t="s">
        <v>217</v>
      </c>
      <c r="N197" t="s">
        <v>100</v>
      </c>
      <c r="O197" t="s">
        <v>775</v>
      </c>
      <c r="P197" t="s">
        <v>134</v>
      </c>
      <c r="Q197" t="s">
        <v>134</v>
      </c>
      <c r="R197" t="s">
        <v>75</v>
      </c>
      <c r="S197" t="s">
        <v>75</v>
      </c>
      <c r="T197" t="s">
        <v>76</v>
      </c>
      <c r="U197" t="s">
        <v>75</v>
      </c>
      <c r="V197" t="s">
        <v>75</v>
      </c>
      <c r="W197" t="s">
        <v>75</v>
      </c>
      <c r="X197" t="s">
        <v>111</v>
      </c>
      <c r="Y197" t="s">
        <v>111</v>
      </c>
      <c r="Z197" t="s">
        <v>77</v>
      </c>
      <c r="AA197" t="s">
        <v>112</v>
      </c>
      <c r="AB197" t="s">
        <v>134</v>
      </c>
      <c r="AC197" t="s">
        <v>113</v>
      </c>
      <c r="AD197" t="s">
        <v>112</v>
      </c>
      <c r="AE197" t="s">
        <v>79</v>
      </c>
      <c r="AF197" t="s">
        <v>75</v>
      </c>
      <c r="AG197" t="s">
        <v>776</v>
      </c>
      <c r="AH197" t="s">
        <v>76</v>
      </c>
      <c r="AI197" t="s">
        <v>76</v>
      </c>
      <c r="AJ197" t="s">
        <v>91</v>
      </c>
      <c r="AK197" t="s">
        <v>115</v>
      </c>
      <c r="AL197" t="s">
        <v>115</v>
      </c>
      <c r="AM197" t="s">
        <v>116</v>
      </c>
      <c r="AN197">
        <v>15</v>
      </c>
      <c r="AO197">
        <v>15</v>
      </c>
      <c r="AP197">
        <v>15</v>
      </c>
      <c r="AQ197" t="s">
        <v>581</v>
      </c>
      <c r="AR197" t="s">
        <v>472</v>
      </c>
      <c r="AS197" t="s">
        <v>471</v>
      </c>
      <c r="AT197" t="s">
        <v>76</v>
      </c>
      <c r="AU197" t="s">
        <v>75</v>
      </c>
      <c r="AV197">
        <v>0.87333333300000004</v>
      </c>
      <c r="AW197">
        <v>1</v>
      </c>
      <c r="AX197">
        <v>0.92130000000000001</v>
      </c>
      <c r="AY197">
        <v>0.87329999999999997</v>
      </c>
      <c r="AZ197">
        <v>1</v>
      </c>
      <c r="BA197">
        <v>0.92130000000000001</v>
      </c>
      <c r="BB197" t="s">
        <v>86</v>
      </c>
      <c r="BC197">
        <v>1</v>
      </c>
      <c r="BD197">
        <v>0.87329999999999997</v>
      </c>
      <c r="BE197">
        <v>0</v>
      </c>
      <c r="BF197">
        <v>6.3799999999999996E-2</v>
      </c>
      <c r="BG197">
        <v>0</v>
      </c>
      <c r="BH197">
        <v>6.3299999999999995E-2</v>
      </c>
      <c r="BI197">
        <v>0</v>
      </c>
      <c r="BJ197">
        <v>6.3799999999999996E-2</v>
      </c>
      <c r="BK197" t="s">
        <v>75</v>
      </c>
      <c r="BL197" t="s">
        <v>777</v>
      </c>
    </row>
    <row r="198" spans="1:65" x14ac:dyDescent="0.55000000000000004">
      <c r="A198" t="s">
        <v>770</v>
      </c>
      <c r="B198">
        <v>57</v>
      </c>
      <c r="C198">
        <v>1</v>
      </c>
      <c r="D198">
        <v>1</v>
      </c>
      <c r="E198">
        <v>2</v>
      </c>
      <c r="F198">
        <v>57.1</v>
      </c>
      <c r="G198" t="s">
        <v>778</v>
      </c>
      <c r="H198" t="s">
        <v>772</v>
      </c>
      <c r="I198" t="s">
        <v>773</v>
      </c>
      <c r="J198">
        <v>2021</v>
      </c>
      <c r="K198" t="s">
        <v>556</v>
      </c>
      <c r="L198" t="s">
        <v>774</v>
      </c>
      <c r="M198" t="s">
        <v>217</v>
      </c>
      <c r="N198" t="s">
        <v>100</v>
      </c>
      <c r="O198" t="s">
        <v>775</v>
      </c>
      <c r="P198" t="s">
        <v>134</v>
      </c>
      <c r="Q198" t="s">
        <v>134</v>
      </c>
      <c r="R198" t="s">
        <v>75</v>
      </c>
      <c r="S198" t="s">
        <v>75</v>
      </c>
      <c r="T198" t="s">
        <v>76</v>
      </c>
      <c r="U198" t="s">
        <v>75</v>
      </c>
      <c r="V198" t="s">
        <v>75</v>
      </c>
      <c r="W198" t="s">
        <v>75</v>
      </c>
      <c r="X198" t="s">
        <v>111</v>
      </c>
      <c r="Y198" t="s">
        <v>111</v>
      </c>
      <c r="Z198" t="s">
        <v>77</v>
      </c>
      <c r="AA198" t="s">
        <v>112</v>
      </c>
      <c r="AB198" t="s">
        <v>134</v>
      </c>
      <c r="AC198" t="s">
        <v>113</v>
      </c>
      <c r="AD198" t="s">
        <v>112</v>
      </c>
      <c r="AE198" t="s">
        <v>79</v>
      </c>
      <c r="AF198" t="s">
        <v>75</v>
      </c>
      <c r="AG198" t="s">
        <v>779</v>
      </c>
      <c r="AH198" t="s">
        <v>76</v>
      </c>
      <c r="AI198" t="s">
        <v>76</v>
      </c>
      <c r="AJ198" t="s">
        <v>91</v>
      </c>
      <c r="AK198" t="s">
        <v>115</v>
      </c>
      <c r="AL198" t="s">
        <v>115</v>
      </c>
      <c r="AM198" t="s">
        <v>116</v>
      </c>
      <c r="AN198">
        <v>15</v>
      </c>
      <c r="AO198">
        <v>15</v>
      </c>
      <c r="AP198">
        <v>15</v>
      </c>
      <c r="AQ198" t="s">
        <v>581</v>
      </c>
      <c r="AR198" t="s">
        <v>472</v>
      </c>
      <c r="AS198" t="s">
        <v>471</v>
      </c>
      <c r="AT198" t="s">
        <v>76</v>
      </c>
      <c r="AU198" t="s">
        <v>75</v>
      </c>
      <c r="AV198">
        <v>0.88800000000000001</v>
      </c>
      <c r="AW198">
        <v>0.8</v>
      </c>
      <c r="AX198">
        <v>0.90269999999999995</v>
      </c>
      <c r="AY198">
        <v>0.88800000000000001</v>
      </c>
      <c r="AZ198">
        <v>0.8</v>
      </c>
      <c r="BA198">
        <v>0.90269999999999995</v>
      </c>
      <c r="BB198" t="s">
        <v>79</v>
      </c>
      <c r="BC198">
        <v>0.88800000000000001</v>
      </c>
      <c r="BD198">
        <v>0.8</v>
      </c>
      <c r="BE198">
        <v>1</v>
      </c>
      <c r="BF198">
        <v>6.2600000000000003E-2</v>
      </c>
      <c r="BG198">
        <v>0</v>
      </c>
      <c r="BH198">
        <v>3.2599999999999997E-2</v>
      </c>
      <c r="BI198">
        <v>6.2587082000000002E-2</v>
      </c>
      <c r="BJ198">
        <v>0</v>
      </c>
      <c r="BK198" t="s">
        <v>75</v>
      </c>
      <c r="BL198" t="s">
        <v>777</v>
      </c>
    </row>
    <row r="199" spans="1:65" x14ac:dyDescent="0.55000000000000004">
      <c r="A199" t="s">
        <v>770</v>
      </c>
      <c r="B199">
        <v>57</v>
      </c>
      <c r="C199">
        <v>1</v>
      </c>
      <c r="D199">
        <v>1</v>
      </c>
      <c r="E199">
        <v>3</v>
      </c>
      <c r="F199">
        <v>57.1</v>
      </c>
      <c r="G199" t="s">
        <v>780</v>
      </c>
      <c r="H199" t="s">
        <v>772</v>
      </c>
      <c r="I199" t="s">
        <v>773</v>
      </c>
      <c r="J199">
        <v>2021</v>
      </c>
      <c r="K199" t="s">
        <v>556</v>
      </c>
      <c r="L199" t="s">
        <v>774</v>
      </c>
      <c r="M199" t="s">
        <v>217</v>
      </c>
      <c r="N199" t="s">
        <v>100</v>
      </c>
      <c r="O199" t="s">
        <v>775</v>
      </c>
      <c r="P199" t="s">
        <v>134</v>
      </c>
      <c r="Q199" t="s">
        <v>134</v>
      </c>
      <c r="R199" t="s">
        <v>75</v>
      </c>
      <c r="S199" t="s">
        <v>75</v>
      </c>
      <c r="T199" t="s">
        <v>76</v>
      </c>
      <c r="U199" t="s">
        <v>75</v>
      </c>
      <c r="V199" t="s">
        <v>75</v>
      </c>
      <c r="W199" t="s">
        <v>75</v>
      </c>
      <c r="X199" t="s">
        <v>111</v>
      </c>
      <c r="Y199" t="s">
        <v>111</v>
      </c>
      <c r="Z199" t="s">
        <v>77</v>
      </c>
      <c r="AA199" t="s">
        <v>112</v>
      </c>
      <c r="AB199" t="s">
        <v>134</v>
      </c>
      <c r="AC199" t="s">
        <v>113</v>
      </c>
      <c r="AD199" t="s">
        <v>112</v>
      </c>
      <c r="AE199" t="s">
        <v>79</v>
      </c>
      <c r="AF199" t="s">
        <v>75</v>
      </c>
      <c r="AG199" t="s">
        <v>781</v>
      </c>
      <c r="AH199" t="s">
        <v>76</v>
      </c>
      <c r="AI199" t="s">
        <v>76</v>
      </c>
      <c r="AJ199" t="s">
        <v>91</v>
      </c>
      <c r="AK199" t="s">
        <v>115</v>
      </c>
      <c r="AL199" t="s">
        <v>115</v>
      </c>
      <c r="AM199" t="s">
        <v>116</v>
      </c>
      <c r="AN199">
        <v>15</v>
      </c>
      <c r="AO199">
        <v>15</v>
      </c>
      <c r="AP199">
        <v>15</v>
      </c>
      <c r="AQ199" t="s">
        <v>581</v>
      </c>
      <c r="AR199" t="s">
        <v>472</v>
      </c>
      <c r="AS199" t="s">
        <v>471</v>
      </c>
      <c r="AT199" t="s">
        <v>76</v>
      </c>
      <c r="AU199" t="s">
        <v>75</v>
      </c>
      <c r="AV199">
        <v>0.84533333300000002</v>
      </c>
      <c r="AW199">
        <v>0.8</v>
      </c>
      <c r="AX199">
        <v>0.90269999999999995</v>
      </c>
      <c r="AY199">
        <v>0.84530000000000005</v>
      </c>
      <c r="AZ199">
        <v>0.8</v>
      </c>
      <c r="BA199">
        <v>0.90269999999999995</v>
      </c>
      <c r="BB199" t="s">
        <v>79</v>
      </c>
      <c r="BC199">
        <v>0.84530000000000005</v>
      </c>
      <c r="BD199">
        <v>0.8</v>
      </c>
      <c r="BE199">
        <v>1</v>
      </c>
      <c r="BF199">
        <v>8.2400000000000001E-2</v>
      </c>
      <c r="BG199">
        <v>0</v>
      </c>
      <c r="BH199">
        <v>6.0999999999999999E-2</v>
      </c>
      <c r="BI199">
        <v>8.2363884999999998E-2</v>
      </c>
      <c r="BJ199">
        <v>0</v>
      </c>
      <c r="BK199" t="s">
        <v>75</v>
      </c>
      <c r="BL199" t="s">
        <v>782</v>
      </c>
    </row>
    <row r="200" spans="1:65" x14ac:dyDescent="0.55000000000000004">
      <c r="A200" t="s">
        <v>770</v>
      </c>
      <c r="B200">
        <v>57</v>
      </c>
      <c r="C200">
        <v>1</v>
      </c>
      <c r="D200">
        <v>1</v>
      </c>
      <c r="E200">
        <v>4</v>
      </c>
      <c r="F200">
        <v>57.1</v>
      </c>
      <c r="G200" t="s">
        <v>783</v>
      </c>
      <c r="H200" t="s">
        <v>772</v>
      </c>
      <c r="I200" t="s">
        <v>773</v>
      </c>
      <c r="J200">
        <v>2021</v>
      </c>
      <c r="K200" t="s">
        <v>556</v>
      </c>
      <c r="L200" t="s">
        <v>774</v>
      </c>
      <c r="M200" t="s">
        <v>217</v>
      </c>
      <c r="N200" t="s">
        <v>100</v>
      </c>
      <c r="O200" t="s">
        <v>775</v>
      </c>
      <c r="P200" t="s">
        <v>134</v>
      </c>
      <c r="Q200" t="s">
        <v>134</v>
      </c>
      <c r="R200" t="s">
        <v>75</v>
      </c>
      <c r="S200" t="s">
        <v>75</v>
      </c>
      <c r="T200" t="s">
        <v>76</v>
      </c>
      <c r="U200" t="s">
        <v>75</v>
      </c>
      <c r="V200" t="s">
        <v>75</v>
      </c>
      <c r="W200" t="s">
        <v>75</v>
      </c>
      <c r="X200" t="s">
        <v>111</v>
      </c>
      <c r="Y200" t="s">
        <v>111</v>
      </c>
      <c r="Z200" t="s">
        <v>77</v>
      </c>
      <c r="AA200" t="s">
        <v>112</v>
      </c>
      <c r="AB200" t="s">
        <v>134</v>
      </c>
      <c r="AC200" t="s">
        <v>113</v>
      </c>
      <c r="AD200" t="s">
        <v>112</v>
      </c>
      <c r="AE200" t="s">
        <v>79</v>
      </c>
      <c r="AF200" t="s">
        <v>75</v>
      </c>
      <c r="AG200" t="s">
        <v>784</v>
      </c>
      <c r="AH200" t="s">
        <v>76</v>
      </c>
      <c r="AI200" t="s">
        <v>76</v>
      </c>
      <c r="AJ200" t="s">
        <v>91</v>
      </c>
      <c r="AK200" t="s">
        <v>115</v>
      </c>
      <c r="AL200" t="s">
        <v>115</v>
      </c>
      <c r="AM200" t="s">
        <v>116</v>
      </c>
      <c r="AN200">
        <v>15</v>
      </c>
      <c r="AO200">
        <v>15</v>
      </c>
      <c r="AP200">
        <v>15</v>
      </c>
      <c r="AQ200" t="s">
        <v>581</v>
      </c>
      <c r="AR200" t="s">
        <v>472</v>
      </c>
      <c r="AS200" t="s">
        <v>471</v>
      </c>
      <c r="AT200" t="s">
        <v>76</v>
      </c>
      <c r="AU200" t="s">
        <v>75</v>
      </c>
      <c r="AV200">
        <v>0.872</v>
      </c>
      <c r="AW200">
        <v>0.88</v>
      </c>
      <c r="AX200">
        <v>0.88929999999999998</v>
      </c>
      <c r="AY200">
        <v>0.872</v>
      </c>
      <c r="AZ200">
        <v>0.88</v>
      </c>
      <c r="BA200">
        <v>0.88929999999999998</v>
      </c>
      <c r="BB200" t="s">
        <v>86</v>
      </c>
      <c r="BC200">
        <v>0.88</v>
      </c>
      <c r="BD200">
        <v>0.872</v>
      </c>
      <c r="BE200">
        <v>1</v>
      </c>
      <c r="BF200">
        <v>7.51E-2</v>
      </c>
      <c r="BG200">
        <v>0</v>
      </c>
      <c r="BH200">
        <v>4.1300000000000003E-2</v>
      </c>
      <c r="BI200">
        <v>0</v>
      </c>
      <c r="BJ200">
        <v>7.51E-2</v>
      </c>
      <c r="BK200" t="s">
        <v>75</v>
      </c>
      <c r="BL200" t="s">
        <v>782</v>
      </c>
    </row>
    <row r="201" spans="1:65" x14ac:dyDescent="0.55000000000000004">
      <c r="A201" t="s">
        <v>785</v>
      </c>
      <c r="B201">
        <v>58</v>
      </c>
      <c r="C201">
        <v>1</v>
      </c>
      <c r="D201">
        <v>1</v>
      </c>
      <c r="E201">
        <v>1</v>
      </c>
      <c r="F201">
        <v>58.1</v>
      </c>
      <c r="G201" t="s">
        <v>786</v>
      </c>
      <c r="H201" t="s">
        <v>787</v>
      </c>
      <c r="I201" t="s">
        <v>788</v>
      </c>
      <c r="J201">
        <v>2023</v>
      </c>
      <c r="K201" t="s">
        <v>556</v>
      </c>
      <c r="L201" t="s">
        <v>789</v>
      </c>
      <c r="M201" t="s">
        <v>217</v>
      </c>
      <c r="N201" t="s">
        <v>100</v>
      </c>
      <c r="O201" t="s">
        <v>790</v>
      </c>
      <c r="P201" t="s">
        <v>161</v>
      </c>
      <c r="Q201" t="s">
        <v>162</v>
      </c>
      <c r="R201" t="s">
        <v>76</v>
      </c>
      <c r="S201" t="s">
        <v>75</v>
      </c>
      <c r="T201" t="s">
        <v>75</v>
      </c>
      <c r="U201" t="s">
        <v>76</v>
      </c>
      <c r="V201" t="s">
        <v>75</v>
      </c>
      <c r="W201" t="s">
        <v>75</v>
      </c>
      <c r="X201" t="s">
        <v>111</v>
      </c>
      <c r="Y201" t="s">
        <v>111</v>
      </c>
      <c r="Z201" t="s">
        <v>77</v>
      </c>
      <c r="AA201" t="s">
        <v>78</v>
      </c>
      <c r="AB201" t="s">
        <v>161</v>
      </c>
      <c r="AC201" t="s">
        <v>179</v>
      </c>
      <c r="AD201" t="s">
        <v>78</v>
      </c>
      <c r="AE201" t="s">
        <v>79</v>
      </c>
      <c r="AF201" t="s">
        <v>75</v>
      </c>
      <c r="AH201" t="s">
        <v>75</v>
      </c>
      <c r="AI201" t="s">
        <v>76</v>
      </c>
      <c r="AK201" t="s">
        <v>115</v>
      </c>
      <c r="AL201" t="s">
        <v>115</v>
      </c>
      <c r="AM201" t="s">
        <v>116</v>
      </c>
      <c r="AN201">
        <v>6</v>
      </c>
      <c r="AO201">
        <v>6</v>
      </c>
      <c r="AP201">
        <v>6</v>
      </c>
      <c r="AQ201" t="s">
        <v>791</v>
      </c>
      <c r="AR201" t="s">
        <v>472</v>
      </c>
      <c r="AS201" t="s">
        <v>471</v>
      </c>
      <c r="AT201" t="s">
        <v>76</v>
      </c>
      <c r="AU201" t="s">
        <v>75</v>
      </c>
      <c r="AV201">
        <v>0.67500000000000004</v>
      </c>
      <c r="AW201">
        <v>0.73299999999999998</v>
      </c>
      <c r="AX201">
        <v>0.72499999999999998</v>
      </c>
      <c r="AY201">
        <v>0.67500000000000004</v>
      </c>
      <c r="AZ201">
        <v>0.73299999999999998</v>
      </c>
      <c r="BA201">
        <v>0.72499999999999998</v>
      </c>
      <c r="BB201" t="s">
        <v>86</v>
      </c>
      <c r="BC201">
        <v>0.73299999999999998</v>
      </c>
      <c r="BD201">
        <v>0.67500000000000004</v>
      </c>
      <c r="BE201">
        <v>0</v>
      </c>
      <c r="BF201">
        <v>9.4E-2</v>
      </c>
      <c r="BG201">
        <v>9.2999999999999999E-2</v>
      </c>
      <c r="BH201">
        <v>7.5999999999999998E-2</v>
      </c>
      <c r="BI201">
        <v>9.2999999999999999E-2</v>
      </c>
      <c r="BJ201">
        <v>9.4E-2</v>
      </c>
      <c r="BK201" t="s">
        <v>75</v>
      </c>
      <c r="BL201" t="s">
        <v>792</v>
      </c>
    </row>
    <row r="202" spans="1:65" x14ac:dyDescent="0.55000000000000004">
      <c r="A202" t="s">
        <v>785</v>
      </c>
      <c r="B202">
        <v>58</v>
      </c>
      <c r="C202">
        <v>1</v>
      </c>
      <c r="D202">
        <v>1</v>
      </c>
      <c r="E202">
        <v>2</v>
      </c>
      <c r="F202">
        <v>58.1</v>
      </c>
      <c r="G202" t="s">
        <v>793</v>
      </c>
      <c r="H202" t="s">
        <v>787</v>
      </c>
      <c r="I202" t="s">
        <v>788</v>
      </c>
      <c r="J202">
        <v>2023</v>
      </c>
      <c r="K202" t="s">
        <v>556</v>
      </c>
      <c r="L202" t="s">
        <v>789</v>
      </c>
      <c r="M202" t="s">
        <v>217</v>
      </c>
      <c r="N202" t="s">
        <v>100</v>
      </c>
      <c r="O202" t="s">
        <v>790</v>
      </c>
      <c r="P202" t="s">
        <v>161</v>
      </c>
      <c r="Q202" t="s">
        <v>162</v>
      </c>
      <c r="R202" t="s">
        <v>76</v>
      </c>
      <c r="S202" t="s">
        <v>75</v>
      </c>
      <c r="T202" t="s">
        <v>75</v>
      </c>
      <c r="U202" t="s">
        <v>76</v>
      </c>
      <c r="V202" t="s">
        <v>75</v>
      </c>
      <c r="W202" t="s">
        <v>75</v>
      </c>
      <c r="X202" t="s">
        <v>111</v>
      </c>
      <c r="Y202" t="s">
        <v>111</v>
      </c>
      <c r="Z202" t="s">
        <v>77</v>
      </c>
      <c r="AA202" t="s">
        <v>78</v>
      </c>
      <c r="AB202" t="s">
        <v>161</v>
      </c>
      <c r="AC202" t="s">
        <v>179</v>
      </c>
      <c r="AD202" t="s">
        <v>78</v>
      </c>
      <c r="AE202" t="s">
        <v>79</v>
      </c>
      <c r="AF202" t="s">
        <v>75</v>
      </c>
      <c r="AH202" t="s">
        <v>75</v>
      </c>
      <c r="AI202" t="s">
        <v>76</v>
      </c>
      <c r="AK202" t="s">
        <v>692</v>
      </c>
      <c r="AL202" t="s">
        <v>115</v>
      </c>
      <c r="AM202" t="s">
        <v>116</v>
      </c>
      <c r="AN202">
        <v>6</v>
      </c>
      <c r="AO202">
        <v>6</v>
      </c>
      <c r="AP202">
        <v>6</v>
      </c>
      <c r="AQ202" t="s">
        <v>791</v>
      </c>
      <c r="AR202" t="s">
        <v>472</v>
      </c>
      <c r="AS202" t="s">
        <v>471</v>
      </c>
      <c r="AT202" t="s">
        <v>76</v>
      </c>
      <c r="AU202" t="s">
        <v>75</v>
      </c>
      <c r="AV202">
        <v>0.76700000000000002</v>
      </c>
      <c r="AW202">
        <v>0.75600000000000001</v>
      </c>
      <c r="AX202">
        <v>0.81100000000000005</v>
      </c>
      <c r="AY202">
        <v>0.76700000000000002</v>
      </c>
      <c r="AZ202">
        <v>0.75600000000000001</v>
      </c>
      <c r="BA202">
        <v>0.81100000000000005</v>
      </c>
      <c r="BB202" t="s">
        <v>79</v>
      </c>
      <c r="BC202">
        <v>0.76700000000000002</v>
      </c>
      <c r="BD202">
        <v>0.75600000000000001</v>
      </c>
      <c r="BE202">
        <v>1</v>
      </c>
      <c r="BF202">
        <v>0.315</v>
      </c>
      <c r="BG202">
        <v>0.192</v>
      </c>
      <c r="BH202">
        <v>0.19800000000000001</v>
      </c>
      <c r="BI202">
        <v>0.315</v>
      </c>
      <c r="BJ202">
        <v>0.192</v>
      </c>
      <c r="BK202" t="s">
        <v>75</v>
      </c>
      <c r="BL202" t="s">
        <v>792</v>
      </c>
    </row>
    <row r="203" spans="1:65" x14ac:dyDescent="0.55000000000000004">
      <c r="A203" t="s">
        <v>785</v>
      </c>
      <c r="B203">
        <v>58</v>
      </c>
      <c r="C203">
        <v>1</v>
      </c>
      <c r="D203">
        <v>1</v>
      </c>
      <c r="E203">
        <v>3</v>
      </c>
      <c r="F203">
        <v>58.1</v>
      </c>
      <c r="G203" t="s">
        <v>794</v>
      </c>
      <c r="H203" t="s">
        <v>787</v>
      </c>
      <c r="I203" t="s">
        <v>788</v>
      </c>
      <c r="J203">
        <v>2023</v>
      </c>
      <c r="K203" t="s">
        <v>556</v>
      </c>
      <c r="L203" t="s">
        <v>789</v>
      </c>
      <c r="M203" t="s">
        <v>217</v>
      </c>
      <c r="N203" t="s">
        <v>100</v>
      </c>
      <c r="O203" t="s">
        <v>790</v>
      </c>
      <c r="P203" t="s">
        <v>161</v>
      </c>
      <c r="Q203" t="s">
        <v>162</v>
      </c>
      <c r="R203" t="s">
        <v>76</v>
      </c>
      <c r="S203" t="s">
        <v>75</v>
      </c>
      <c r="T203" t="s">
        <v>75</v>
      </c>
      <c r="U203" t="s">
        <v>76</v>
      </c>
      <c r="V203" t="s">
        <v>75</v>
      </c>
      <c r="W203" t="s">
        <v>75</v>
      </c>
      <c r="X203" t="s">
        <v>111</v>
      </c>
      <c r="Y203" t="s">
        <v>111</v>
      </c>
      <c r="Z203" t="s">
        <v>77</v>
      </c>
      <c r="AA203" t="s">
        <v>78</v>
      </c>
      <c r="AB203" t="s">
        <v>161</v>
      </c>
      <c r="AC203" t="s">
        <v>179</v>
      </c>
      <c r="AD203" t="s">
        <v>78</v>
      </c>
      <c r="AE203" t="s">
        <v>79</v>
      </c>
      <c r="AF203" t="s">
        <v>75</v>
      </c>
      <c r="AH203" t="s">
        <v>75</v>
      </c>
      <c r="AI203" t="s">
        <v>76</v>
      </c>
      <c r="AK203" t="s">
        <v>398</v>
      </c>
      <c r="AL203" t="s">
        <v>115</v>
      </c>
      <c r="AM203" t="s">
        <v>116</v>
      </c>
      <c r="AN203">
        <v>6</v>
      </c>
      <c r="AO203">
        <v>6</v>
      </c>
      <c r="AP203">
        <v>6</v>
      </c>
      <c r="AQ203" t="s">
        <v>791</v>
      </c>
      <c r="AR203" t="s">
        <v>472</v>
      </c>
      <c r="AS203" t="s">
        <v>471</v>
      </c>
      <c r="AT203" t="s">
        <v>76</v>
      </c>
      <c r="AU203" t="s">
        <v>75</v>
      </c>
      <c r="AV203">
        <v>0.61599999999999999</v>
      </c>
      <c r="AW203">
        <v>0.73899999999999999</v>
      </c>
      <c r="AX203">
        <v>0.63900000000000001</v>
      </c>
      <c r="AY203">
        <v>0.61599999999999999</v>
      </c>
      <c r="AZ203">
        <v>0.73899999999999999</v>
      </c>
      <c r="BA203">
        <v>0.63900000000000001</v>
      </c>
      <c r="BB203" t="s">
        <v>86</v>
      </c>
      <c r="BC203">
        <v>0.73899999999999999</v>
      </c>
      <c r="BD203">
        <v>0.61599999999999999</v>
      </c>
      <c r="BE203">
        <v>0</v>
      </c>
      <c r="BF203">
        <v>0.20599999999999999</v>
      </c>
      <c r="BG203">
        <v>0.06</v>
      </c>
      <c r="BH203">
        <v>0.187</v>
      </c>
      <c r="BI203">
        <v>0.06</v>
      </c>
      <c r="BJ203">
        <v>0.20599999999999999</v>
      </c>
      <c r="BK203" t="s">
        <v>75</v>
      </c>
      <c r="BL203" t="s">
        <v>795</v>
      </c>
    </row>
    <row r="204" spans="1:65" x14ac:dyDescent="0.55000000000000004">
      <c r="A204" t="s">
        <v>785</v>
      </c>
      <c r="B204">
        <v>58</v>
      </c>
      <c r="C204">
        <v>2</v>
      </c>
      <c r="D204">
        <v>1</v>
      </c>
      <c r="E204">
        <v>1</v>
      </c>
      <c r="F204">
        <v>58.2</v>
      </c>
      <c r="G204" t="s">
        <v>796</v>
      </c>
      <c r="H204" t="s">
        <v>787</v>
      </c>
      <c r="I204" t="s">
        <v>788</v>
      </c>
      <c r="J204">
        <v>2023</v>
      </c>
      <c r="K204" t="s">
        <v>556</v>
      </c>
      <c r="L204" t="s">
        <v>789</v>
      </c>
      <c r="M204" t="s">
        <v>217</v>
      </c>
      <c r="N204" t="s">
        <v>100</v>
      </c>
      <c r="O204" t="s">
        <v>790</v>
      </c>
      <c r="P204" t="s">
        <v>161</v>
      </c>
      <c r="Q204" t="s">
        <v>162</v>
      </c>
      <c r="R204" t="s">
        <v>76</v>
      </c>
      <c r="S204" t="s">
        <v>75</v>
      </c>
      <c r="T204" t="s">
        <v>75</v>
      </c>
      <c r="U204" t="s">
        <v>76</v>
      </c>
      <c r="V204" t="s">
        <v>75</v>
      </c>
      <c r="W204" t="s">
        <v>75</v>
      </c>
      <c r="X204" t="s">
        <v>111</v>
      </c>
      <c r="Y204" t="s">
        <v>111</v>
      </c>
      <c r="Z204" t="s">
        <v>77</v>
      </c>
      <c r="AA204" t="s">
        <v>78</v>
      </c>
      <c r="AB204" t="s">
        <v>161</v>
      </c>
      <c r="AC204" t="s">
        <v>179</v>
      </c>
      <c r="AD204" t="s">
        <v>78</v>
      </c>
      <c r="AE204" t="s">
        <v>79</v>
      </c>
      <c r="AF204" t="s">
        <v>75</v>
      </c>
      <c r="AH204" t="s">
        <v>75</v>
      </c>
      <c r="AI204" t="s">
        <v>76</v>
      </c>
      <c r="AK204" t="s">
        <v>115</v>
      </c>
      <c r="AL204" t="s">
        <v>115</v>
      </c>
      <c r="AM204" t="s">
        <v>116</v>
      </c>
      <c r="AN204">
        <v>9</v>
      </c>
      <c r="AO204">
        <v>9</v>
      </c>
      <c r="AP204">
        <v>9</v>
      </c>
      <c r="AQ204" t="s">
        <v>791</v>
      </c>
      <c r="AR204" t="s">
        <v>472</v>
      </c>
      <c r="AS204" t="s">
        <v>471</v>
      </c>
      <c r="AT204" t="s">
        <v>76</v>
      </c>
      <c r="AU204" t="s">
        <v>75</v>
      </c>
      <c r="AV204">
        <v>0.68700000000000006</v>
      </c>
      <c r="AW204">
        <v>0.67100000000000004</v>
      </c>
      <c r="AX204">
        <v>0.71499999999999997</v>
      </c>
      <c r="AY204">
        <v>0.68700000000000006</v>
      </c>
      <c r="AZ204">
        <v>0.67100000000000004</v>
      </c>
      <c r="BA204">
        <v>0.71499999999999997</v>
      </c>
      <c r="BB204" t="s">
        <v>79</v>
      </c>
      <c r="BC204">
        <v>0.68700000000000006</v>
      </c>
      <c r="BD204">
        <v>0.67100000000000004</v>
      </c>
      <c r="BE204">
        <v>1</v>
      </c>
      <c r="BF204">
        <v>5.7000000000000002E-2</v>
      </c>
      <c r="BG204">
        <v>7.9000000000000001E-2</v>
      </c>
      <c r="BH204">
        <v>4.4999999999999998E-2</v>
      </c>
      <c r="BI204">
        <v>5.7000000000000002E-2</v>
      </c>
      <c r="BJ204">
        <v>7.9000000000000001E-2</v>
      </c>
      <c r="BK204" t="s">
        <v>75</v>
      </c>
      <c r="BL204" t="s">
        <v>795</v>
      </c>
    </row>
    <row r="205" spans="1:65" x14ac:dyDescent="0.55000000000000004">
      <c r="A205" t="s">
        <v>785</v>
      </c>
      <c r="B205">
        <v>58</v>
      </c>
      <c r="C205">
        <v>2</v>
      </c>
      <c r="D205">
        <v>1</v>
      </c>
      <c r="E205">
        <v>2</v>
      </c>
      <c r="F205">
        <v>58.2</v>
      </c>
      <c r="G205" t="s">
        <v>797</v>
      </c>
      <c r="H205" t="s">
        <v>787</v>
      </c>
      <c r="I205" t="s">
        <v>788</v>
      </c>
      <c r="J205">
        <v>2023</v>
      </c>
      <c r="K205" t="s">
        <v>556</v>
      </c>
      <c r="L205" t="s">
        <v>789</v>
      </c>
      <c r="M205" t="s">
        <v>217</v>
      </c>
      <c r="N205" t="s">
        <v>100</v>
      </c>
      <c r="O205" t="s">
        <v>790</v>
      </c>
      <c r="P205" t="s">
        <v>161</v>
      </c>
      <c r="Q205" t="s">
        <v>162</v>
      </c>
      <c r="R205" t="s">
        <v>76</v>
      </c>
      <c r="S205" t="s">
        <v>75</v>
      </c>
      <c r="T205" t="s">
        <v>75</v>
      </c>
      <c r="U205" t="s">
        <v>76</v>
      </c>
      <c r="V205" t="s">
        <v>75</v>
      </c>
      <c r="W205" t="s">
        <v>75</v>
      </c>
      <c r="X205" t="s">
        <v>111</v>
      </c>
      <c r="Y205" t="s">
        <v>111</v>
      </c>
      <c r="Z205" t="s">
        <v>77</v>
      </c>
      <c r="AA205" t="s">
        <v>78</v>
      </c>
      <c r="AB205" t="s">
        <v>161</v>
      </c>
      <c r="AC205" t="s">
        <v>179</v>
      </c>
      <c r="AD205" t="s">
        <v>78</v>
      </c>
      <c r="AE205" t="s">
        <v>79</v>
      </c>
      <c r="AF205" t="s">
        <v>75</v>
      </c>
      <c r="AH205" t="s">
        <v>75</v>
      </c>
      <c r="AI205" t="s">
        <v>76</v>
      </c>
      <c r="AK205" t="s">
        <v>692</v>
      </c>
      <c r="AL205" t="s">
        <v>115</v>
      </c>
      <c r="AM205" t="s">
        <v>116</v>
      </c>
      <c r="AN205">
        <v>9</v>
      </c>
      <c r="AO205">
        <v>9</v>
      </c>
      <c r="AP205">
        <v>9</v>
      </c>
      <c r="AQ205" t="s">
        <v>791</v>
      </c>
      <c r="AR205" t="s">
        <v>472</v>
      </c>
      <c r="AS205" t="s">
        <v>471</v>
      </c>
      <c r="AT205" t="s">
        <v>76</v>
      </c>
      <c r="AU205" t="s">
        <v>75</v>
      </c>
      <c r="AV205">
        <v>0.73699999999999999</v>
      </c>
      <c r="AW205">
        <v>0.68799999999999994</v>
      </c>
      <c r="AX205">
        <v>0.752</v>
      </c>
      <c r="AY205">
        <v>0.73699999999999999</v>
      </c>
      <c r="AZ205">
        <v>0.68799999999999994</v>
      </c>
      <c r="BA205">
        <v>0.752</v>
      </c>
      <c r="BB205" t="s">
        <v>79</v>
      </c>
      <c r="BC205">
        <v>0.73699999999999999</v>
      </c>
      <c r="BD205">
        <v>0.68799999999999994</v>
      </c>
      <c r="BE205">
        <v>1</v>
      </c>
      <c r="BF205">
        <v>0.11700000000000001</v>
      </c>
      <c r="BG205">
        <v>6.5000000000000002E-2</v>
      </c>
      <c r="BH205">
        <v>8.4000000000000005E-2</v>
      </c>
      <c r="BI205">
        <v>0.11700000000000001</v>
      </c>
      <c r="BJ205">
        <v>6.5000000000000002E-2</v>
      </c>
      <c r="BK205" t="s">
        <v>75</v>
      </c>
      <c r="BL205" t="s">
        <v>795</v>
      </c>
    </row>
    <row r="206" spans="1:65" x14ac:dyDescent="0.55000000000000004">
      <c r="A206" t="s">
        <v>785</v>
      </c>
      <c r="B206">
        <v>58</v>
      </c>
      <c r="C206">
        <v>2</v>
      </c>
      <c r="D206">
        <v>1</v>
      </c>
      <c r="E206">
        <v>3</v>
      </c>
      <c r="F206">
        <v>58.2</v>
      </c>
      <c r="G206" t="s">
        <v>798</v>
      </c>
      <c r="H206" t="s">
        <v>787</v>
      </c>
      <c r="I206" t="s">
        <v>788</v>
      </c>
      <c r="J206">
        <v>2023</v>
      </c>
      <c r="K206" t="s">
        <v>556</v>
      </c>
      <c r="L206" t="s">
        <v>789</v>
      </c>
      <c r="M206" t="s">
        <v>217</v>
      </c>
      <c r="N206" t="s">
        <v>100</v>
      </c>
      <c r="O206" t="s">
        <v>790</v>
      </c>
      <c r="P206" t="s">
        <v>161</v>
      </c>
      <c r="Q206" t="s">
        <v>162</v>
      </c>
      <c r="R206" t="s">
        <v>76</v>
      </c>
      <c r="S206" t="s">
        <v>75</v>
      </c>
      <c r="T206" t="s">
        <v>75</v>
      </c>
      <c r="U206" t="s">
        <v>76</v>
      </c>
      <c r="V206" t="s">
        <v>75</v>
      </c>
      <c r="W206" t="s">
        <v>75</v>
      </c>
      <c r="X206" t="s">
        <v>111</v>
      </c>
      <c r="Y206" t="s">
        <v>111</v>
      </c>
      <c r="Z206" t="s">
        <v>77</v>
      </c>
      <c r="AA206" t="s">
        <v>78</v>
      </c>
      <c r="AB206" t="s">
        <v>161</v>
      </c>
      <c r="AC206" t="s">
        <v>179</v>
      </c>
      <c r="AD206" t="s">
        <v>78</v>
      </c>
      <c r="AE206" t="s">
        <v>79</v>
      </c>
      <c r="AF206" t="s">
        <v>75</v>
      </c>
      <c r="AH206" t="s">
        <v>75</v>
      </c>
      <c r="AI206" t="s">
        <v>76</v>
      </c>
      <c r="AK206" t="s">
        <v>398</v>
      </c>
      <c r="AL206" t="s">
        <v>115</v>
      </c>
      <c r="AM206" t="s">
        <v>116</v>
      </c>
      <c r="AN206">
        <v>9</v>
      </c>
      <c r="AO206">
        <v>9</v>
      </c>
      <c r="AP206">
        <v>9</v>
      </c>
      <c r="AQ206" t="s">
        <v>791</v>
      </c>
      <c r="AR206" t="s">
        <v>472</v>
      </c>
      <c r="AS206" t="s">
        <v>471</v>
      </c>
      <c r="AT206" t="s">
        <v>76</v>
      </c>
      <c r="AU206" t="s">
        <v>75</v>
      </c>
      <c r="AV206">
        <v>0.70499999999999996</v>
      </c>
      <c r="AW206">
        <v>0.69599999999999995</v>
      </c>
      <c r="AX206">
        <v>0.73299999999999998</v>
      </c>
      <c r="AY206">
        <v>0.70499999999999996</v>
      </c>
      <c r="AZ206">
        <v>0.69599999999999995</v>
      </c>
      <c r="BA206">
        <v>0.73299999999999998</v>
      </c>
      <c r="BB206" t="s">
        <v>79</v>
      </c>
      <c r="BC206">
        <v>0.70499999999999996</v>
      </c>
      <c r="BD206">
        <v>0.69599999999999995</v>
      </c>
      <c r="BE206">
        <v>1</v>
      </c>
      <c r="BF206">
        <v>7.5999999999999998E-2</v>
      </c>
      <c r="BG206">
        <v>0.16</v>
      </c>
      <c r="BH206">
        <v>0.114</v>
      </c>
      <c r="BI206">
        <v>7.5999999999999998E-2</v>
      </c>
      <c r="BJ206">
        <v>0.16</v>
      </c>
      <c r="BK206" t="s">
        <v>75</v>
      </c>
      <c r="BL206" t="s">
        <v>799</v>
      </c>
      <c r="BM206" t="s">
        <v>800</v>
      </c>
    </row>
    <row r="207" spans="1:65" x14ac:dyDescent="0.55000000000000004">
      <c r="A207" t="s">
        <v>801</v>
      </c>
      <c r="B207">
        <v>60</v>
      </c>
      <c r="C207">
        <v>1</v>
      </c>
      <c r="D207">
        <v>1</v>
      </c>
      <c r="E207">
        <v>1</v>
      </c>
      <c r="F207">
        <v>60.1</v>
      </c>
      <c r="G207" t="s">
        <v>802</v>
      </c>
      <c r="H207" t="s">
        <v>803</v>
      </c>
      <c r="I207" t="s">
        <v>804</v>
      </c>
      <c r="J207">
        <v>2020</v>
      </c>
      <c r="K207" t="s">
        <v>556</v>
      </c>
      <c r="L207" t="s">
        <v>756</v>
      </c>
      <c r="M207" t="s">
        <v>217</v>
      </c>
      <c r="N207" t="s">
        <v>100</v>
      </c>
      <c r="O207" t="s">
        <v>805</v>
      </c>
      <c r="P207" t="s">
        <v>806</v>
      </c>
      <c r="Q207" t="s">
        <v>162</v>
      </c>
      <c r="R207" t="s">
        <v>76</v>
      </c>
      <c r="S207" t="s">
        <v>75</v>
      </c>
      <c r="T207" t="s">
        <v>76</v>
      </c>
      <c r="U207" t="s">
        <v>76</v>
      </c>
      <c r="V207" t="s">
        <v>75</v>
      </c>
      <c r="W207" t="s">
        <v>75</v>
      </c>
      <c r="X207" t="s">
        <v>135</v>
      </c>
      <c r="Y207" t="s">
        <v>135</v>
      </c>
      <c r="Z207" t="s">
        <v>77</v>
      </c>
      <c r="AA207" t="s">
        <v>112</v>
      </c>
      <c r="AB207" t="s">
        <v>806</v>
      </c>
      <c r="AC207" t="s">
        <v>135</v>
      </c>
      <c r="AD207" t="s">
        <v>112</v>
      </c>
      <c r="AE207" t="s">
        <v>79</v>
      </c>
      <c r="AF207" t="s">
        <v>75</v>
      </c>
      <c r="AH207" t="s">
        <v>76</v>
      </c>
      <c r="AI207" t="s">
        <v>76</v>
      </c>
      <c r="AJ207" t="s">
        <v>134</v>
      </c>
      <c r="AK207" t="s">
        <v>115</v>
      </c>
      <c r="AL207" t="s">
        <v>115</v>
      </c>
      <c r="AM207" t="s">
        <v>116</v>
      </c>
      <c r="AN207">
        <v>13</v>
      </c>
      <c r="AO207">
        <v>13</v>
      </c>
      <c r="AP207">
        <v>13</v>
      </c>
      <c r="AQ207" t="s">
        <v>600</v>
      </c>
      <c r="AR207" t="s">
        <v>472</v>
      </c>
      <c r="AS207" t="s">
        <v>807</v>
      </c>
      <c r="AT207" t="s">
        <v>76</v>
      </c>
      <c r="AU207" t="s">
        <v>75</v>
      </c>
      <c r="AV207">
        <v>0.60150000000000003</v>
      </c>
      <c r="AW207">
        <v>0.76770000000000005</v>
      </c>
      <c r="AX207">
        <v>0.65149999999999997</v>
      </c>
      <c r="AY207">
        <v>0.60150000000000003</v>
      </c>
      <c r="AZ207">
        <v>0.76770000000000005</v>
      </c>
      <c r="BA207">
        <v>0.65149999999999997</v>
      </c>
      <c r="BB207" t="s">
        <v>86</v>
      </c>
      <c r="BC207">
        <v>0.76770000000000005</v>
      </c>
      <c r="BD207">
        <v>0.60150000000000003</v>
      </c>
      <c r="BE207">
        <v>0</v>
      </c>
      <c r="BF207">
        <v>4.7399999999999998E-2</v>
      </c>
      <c r="BG207">
        <v>4.1300000000000003E-2</v>
      </c>
      <c r="BH207">
        <v>8.3400000000000002E-2</v>
      </c>
      <c r="BI207">
        <v>4.1262139000000003E-2</v>
      </c>
      <c r="BJ207">
        <v>4.7399999999999998E-2</v>
      </c>
      <c r="BK207" t="s">
        <v>75</v>
      </c>
      <c r="BL207" t="s">
        <v>799</v>
      </c>
      <c r="BM207" t="s">
        <v>800</v>
      </c>
    </row>
    <row r="208" spans="1:65" x14ac:dyDescent="0.55000000000000004">
      <c r="A208" t="s">
        <v>801</v>
      </c>
      <c r="B208">
        <v>60</v>
      </c>
      <c r="C208">
        <v>1</v>
      </c>
      <c r="D208">
        <v>1</v>
      </c>
      <c r="E208">
        <v>2</v>
      </c>
      <c r="F208">
        <v>60.1</v>
      </c>
      <c r="G208" t="s">
        <v>808</v>
      </c>
      <c r="H208" t="s">
        <v>803</v>
      </c>
      <c r="I208" t="s">
        <v>804</v>
      </c>
      <c r="J208">
        <v>2020</v>
      </c>
      <c r="K208" t="s">
        <v>556</v>
      </c>
      <c r="L208" t="s">
        <v>756</v>
      </c>
      <c r="M208" t="s">
        <v>217</v>
      </c>
      <c r="N208" t="s">
        <v>100</v>
      </c>
      <c r="O208" t="s">
        <v>805</v>
      </c>
      <c r="P208" t="s">
        <v>806</v>
      </c>
      <c r="Q208" t="s">
        <v>162</v>
      </c>
      <c r="R208" t="s">
        <v>76</v>
      </c>
      <c r="S208" t="s">
        <v>75</v>
      </c>
      <c r="T208" t="s">
        <v>76</v>
      </c>
      <c r="U208" t="s">
        <v>76</v>
      </c>
      <c r="V208" t="s">
        <v>75</v>
      </c>
      <c r="W208" t="s">
        <v>75</v>
      </c>
      <c r="X208" t="s">
        <v>135</v>
      </c>
      <c r="Y208" t="s">
        <v>135</v>
      </c>
      <c r="Z208" t="s">
        <v>77</v>
      </c>
      <c r="AA208" t="s">
        <v>112</v>
      </c>
      <c r="AB208" t="s">
        <v>806</v>
      </c>
      <c r="AC208" t="s">
        <v>135</v>
      </c>
      <c r="AD208" t="s">
        <v>112</v>
      </c>
      <c r="AE208" t="s">
        <v>79</v>
      </c>
      <c r="AF208" t="s">
        <v>75</v>
      </c>
      <c r="AH208" t="s">
        <v>76</v>
      </c>
      <c r="AI208" t="s">
        <v>76</v>
      </c>
      <c r="AJ208" t="s">
        <v>134</v>
      </c>
      <c r="AK208" t="s">
        <v>692</v>
      </c>
      <c r="AL208" t="s">
        <v>115</v>
      </c>
      <c r="AM208" t="s">
        <v>116</v>
      </c>
      <c r="AN208">
        <v>13</v>
      </c>
      <c r="AO208">
        <v>13</v>
      </c>
      <c r="AP208">
        <v>13</v>
      </c>
      <c r="AQ208" t="s">
        <v>600</v>
      </c>
      <c r="AR208" t="s">
        <v>472</v>
      </c>
      <c r="AS208" t="s">
        <v>807</v>
      </c>
      <c r="AT208" t="s">
        <v>76</v>
      </c>
      <c r="AU208" t="s">
        <v>75</v>
      </c>
      <c r="AV208">
        <v>0.7046</v>
      </c>
      <c r="AW208">
        <v>0.6492</v>
      </c>
      <c r="AX208">
        <v>0.72919999999999996</v>
      </c>
      <c r="AY208">
        <v>0.7046</v>
      </c>
      <c r="AZ208">
        <v>0.6492</v>
      </c>
      <c r="BA208">
        <v>0.72919999999999996</v>
      </c>
      <c r="BB208" t="s">
        <v>79</v>
      </c>
      <c r="BC208">
        <v>0.7046</v>
      </c>
      <c r="BD208">
        <v>0.6492</v>
      </c>
      <c r="BE208">
        <v>1</v>
      </c>
      <c r="BF208">
        <v>0.1124</v>
      </c>
      <c r="BG208">
        <v>7.3999999999999996E-2</v>
      </c>
      <c r="BH208">
        <v>0.1133</v>
      </c>
      <c r="BI208">
        <v>0.112443718</v>
      </c>
      <c r="BJ208">
        <v>7.3999999999999996E-2</v>
      </c>
      <c r="BK208" t="s">
        <v>75</v>
      </c>
      <c r="BL208" t="s">
        <v>809</v>
      </c>
    </row>
    <row r="209" spans="1:64" x14ac:dyDescent="0.55000000000000004">
      <c r="A209" t="s">
        <v>801</v>
      </c>
      <c r="B209">
        <v>60</v>
      </c>
      <c r="C209">
        <v>1</v>
      </c>
      <c r="D209">
        <v>1</v>
      </c>
      <c r="E209">
        <v>3</v>
      </c>
      <c r="F209">
        <v>60.1</v>
      </c>
      <c r="G209" t="s">
        <v>810</v>
      </c>
      <c r="H209" t="s">
        <v>803</v>
      </c>
      <c r="I209" t="s">
        <v>804</v>
      </c>
      <c r="J209">
        <v>2020</v>
      </c>
      <c r="K209" t="s">
        <v>556</v>
      </c>
      <c r="L209" t="s">
        <v>756</v>
      </c>
      <c r="M209" t="s">
        <v>217</v>
      </c>
      <c r="N209" t="s">
        <v>100</v>
      </c>
      <c r="O209" t="s">
        <v>805</v>
      </c>
      <c r="P209" t="s">
        <v>806</v>
      </c>
      <c r="Q209" t="s">
        <v>162</v>
      </c>
      <c r="R209" t="s">
        <v>76</v>
      </c>
      <c r="S209" t="s">
        <v>75</v>
      </c>
      <c r="T209" t="s">
        <v>76</v>
      </c>
      <c r="U209" t="s">
        <v>76</v>
      </c>
      <c r="V209" t="s">
        <v>75</v>
      </c>
      <c r="W209" t="s">
        <v>75</v>
      </c>
      <c r="X209" t="s">
        <v>135</v>
      </c>
      <c r="Y209" t="s">
        <v>135</v>
      </c>
      <c r="Z209" t="s">
        <v>77</v>
      </c>
      <c r="AA209" t="s">
        <v>112</v>
      </c>
      <c r="AB209" t="s">
        <v>806</v>
      </c>
      <c r="AC209" t="s">
        <v>135</v>
      </c>
      <c r="AD209" t="s">
        <v>112</v>
      </c>
      <c r="AE209" t="s">
        <v>79</v>
      </c>
      <c r="AF209" t="s">
        <v>75</v>
      </c>
      <c r="AH209" t="s">
        <v>76</v>
      </c>
      <c r="AI209" t="s">
        <v>76</v>
      </c>
      <c r="AJ209" t="s">
        <v>134</v>
      </c>
      <c r="AK209" t="s">
        <v>689</v>
      </c>
      <c r="AL209" t="s">
        <v>115</v>
      </c>
      <c r="AM209" t="s">
        <v>116</v>
      </c>
      <c r="AN209">
        <v>13</v>
      </c>
      <c r="AO209">
        <v>13</v>
      </c>
      <c r="AP209">
        <v>13</v>
      </c>
      <c r="AQ209" t="s">
        <v>600</v>
      </c>
      <c r="AR209" t="s">
        <v>472</v>
      </c>
      <c r="AS209" t="s">
        <v>807</v>
      </c>
      <c r="AT209" t="s">
        <v>76</v>
      </c>
      <c r="AU209" t="s">
        <v>75</v>
      </c>
      <c r="AV209">
        <v>0.52</v>
      </c>
      <c r="AW209">
        <v>0.86150000000000004</v>
      </c>
      <c r="AX209">
        <v>0.61</v>
      </c>
      <c r="AY209">
        <v>0.52</v>
      </c>
      <c r="AZ209">
        <v>0.86150000000000004</v>
      </c>
      <c r="BA209">
        <v>0.61</v>
      </c>
      <c r="BB209" t="s">
        <v>86</v>
      </c>
      <c r="BC209">
        <v>0.86150000000000004</v>
      </c>
      <c r="BD209">
        <v>0.52</v>
      </c>
      <c r="BE209">
        <v>0</v>
      </c>
      <c r="BF209">
        <v>0.1201</v>
      </c>
      <c r="BG209">
        <v>4.1799999999999997E-2</v>
      </c>
      <c r="BH209">
        <v>0.1517</v>
      </c>
      <c r="BI209">
        <v>4.1802342999999999E-2</v>
      </c>
      <c r="BJ209">
        <v>0.1201</v>
      </c>
      <c r="BK209" t="s">
        <v>75</v>
      </c>
      <c r="BL209" t="s">
        <v>809</v>
      </c>
    </row>
    <row r="210" spans="1:64" x14ac:dyDescent="0.55000000000000004">
      <c r="A210" t="s">
        <v>801</v>
      </c>
      <c r="B210">
        <v>60</v>
      </c>
      <c r="C210">
        <v>1</v>
      </c>
      <c r="D210">
        <v>1</v>
      </c>
      <c r="E210">
        <v>4</v>
      </c>
      <c r="F210">
        <v>60.1</v>
      </c>
      <c r="G210" t="s">
        <v>811</v>
      </c>
      <c r="H210" t="s">
        <v>803</v>
      </c>
      <c r="I210" t="s">
        <v>804</v>
      </c>
      <c r="J210">
        <v>2020</v>
      </c>
      <c r="K210" t="s">
        <v>556</v>
      </c>
      <c r="L210" t="s">
        <v>756</v>
      </c>
      <c r="M210" t="s">
        <v>217</v>
      </c>
      <c r="N210" t="s">
        <v>100</v>
      </c>
      <c r="O210" t="s">
        <v>805</v>
      </c>
      <c r="P210" t="s">
        <v>806</v>
      </c>
      <c r="Q210" t="s">
        <v>162</v>
      </c>
      <c r="R210" t="s">
        <v>76</v>
      </c>
      <c r="S210" t="s">
        <v>75</v>
      </c>
      <c r="T210" t="s">
        <v>76</v>
      </c>
      <c r="U210" t="s">
        <v>76</v>
      </c>
      <c r="V210" t="s">
        <v>75</v>
      </c>
      <c r="W210" t="s">
        <v>75</v>
      </c>
      <c r="X210" t="s">
        <v>135</v>
      </c>
      <c r="Y210" t="s">
        <v>135</v>
      </c>
      <c r="Z210" t="s">
        <v>77</v>
      </c>
      <c r="AA210" t="s">
        <v>112</v>
      </c>
      <c r="AB210" t="s">
        <v>806</v>
      </c>
      <c r="AC210" t="s">
        <v>135</v>
      </c>
      <c r="AD210" t="s">
        <v>112</v>
      </c>
      <c r="AE210" t="s">
        <v>79</v>
      </c>
      <c r="AF210" t="s">
        <v>75</v>
      </c>
      <c r="AH210" t="s">
        <v>76</v>
      </c>
      <c r="AI210" t="s">
        <v>76</v>
      </c>
      <c r="AJ210" t="s">
        <v>134</v>
      </c>
      <c r="AK210" t="s">
        <v>812</v>
      </c>
      <c r="AL210" t="s">
        <v>115</v>
      </c>
      <c r="AM210" t="s">
        <v>116</v>
      </c>
      <c r="AN210">
        <v>13</v>
      </c>
      <c r="AO210">
        <v>13</v>
      </c>
      <c r="AP210">
        <v>13</v>
      </c>
      <c r="AQ210" t="s">
        <v>600</v>
      </c>
      <c r="AR210" t="s">
        <v>472</v>
      </c>
      <c r="AS210" t="s">
        <v>807</v>
      </c>
      <c r="AT210" t="s">
        <v>76</v>
      </c>
      <c r="AU210" t="s">
        <v>75</v>
      </c>
      <c r="AV210">
        <v>0.53769999999999996</v>
      </c>
      <c r="AW210">
        <v>0.74380000000000002</v>
      </c>
      <c r="AX210">
        <v>0.55149999999999999</v>
      </c>
      <c r="AY210">
        <v>0.53769999999999996</v>
      </c>
      <c r="AZ210">
        <v>0.74380000000000002</v>
      </c>
      <c r="BA210">
        <v>0.55149999999999999</v>
      </c>
      <c r="BB210" t="s">
        <v>86</v>
      </c>
      <c r="BC210">
        <v>0.74380000000000002</v>
      </c>
      <c r="BD210">
        <v>0.53769999999999996</v>
      </c>
      <c r="BE210">
        <v>0</v>
      </c>
      <c r="BF210">
        <v>5.1999999999999998E-2</v>
      </c>
      <c r="BG210">
        <v>7.3400000000000007E-2</v>
      </c>
      <c r="BH210">
        <v>0.113</v>
      </c>
      <c r="BI210">
        <v>7.3432334000000002E-2</v>
      </c>
      <c r="BJ210">
        <v>5.1999999999999998E-2</v>
      </c>
      <c r="BK210" t="s">
        <v>75</v>
      </c>
      <c r="BL210" t="s">
        <v>813</v>
      </c>
    </row>
    <row r="211" spans="1:64" x14ac:dyDescent="0.55000000000000004">
      <c r="A211" t="s">
        <v>801</v>
      </c>
      <c r="B211">
        <v>60</v>
      </c>
      <c r="C211">
        <v>1</v>
      </c>
      <c r="D211">
        <v>1</v>
      </c>
      <c r="E211">
        <v>5</v>
      </c>
      <c r="F211">
        <v>60.1</v>
      </c>
      <c r="G211" t="s">
        <v>814</v>
      </c>
      <c r="H211" t="s">
        <v>803</v>
      </c>
      <c r="I211" t="s">
        <v>804</v>
      </c>
      <c r="J211">
        <v>2020</v>
      </c>
      <c r="K211" t="s">
        <v>556</v>
      </c>
      <c r="L211" t="s">
        <v>756</v>
      </c>
      <c r="M211" t="s">
        <v>217</v>
      </c>
      <c r="N211" t="s">
        <v>100</v>
      </c>
      <c r="O211" t="s">
        <v>805</v>
      </c>
      <c r="P211" t="s">
        <v>806</v>
      </c>
      <c r="Q211" t="s">
        <v>162</v>
      </c>
      <c r="R211" t="s">
        <v>76</v>
      </c>
      <c r="S211" t="s">
        <v>75</v>
      </c>
      <c r="T211" t="s">
        <v>76</v>
      </c>
      <c r="U211" t="s">
        <v>76</v>
      </c>
      <c r="V211" t="s">
        <v>75</v>
      </c>
      <c r="W211" t="s">
        <v>75</v>
      </c>
      <c r="X211" t="s">
        <v>135</v>
      </c>
      <c r="Y211" t="s">
        <v>135</v>
      </c>
      <c r="Z211" t="s">
        <v>77</v>
      </c>
      <c r="AA211" t="s">
        <v>112</v>
      </c>
      <c r="AB211" t="s">
        <v>806</v>
      </c>
      <c r="AC211" t="s">
        <v>135</v>
      </c>
      <c r="AD211" t="s">
        <v>112</v>
      </c>
      <c r="AE211" t="s">
        <v>79</v>
      </c>
      <c r="AF211" t="s">
        <v>75</v>
      </c>
      <c r="AH211" t="s">
        <v>76</v>
      </c>
      <c r="AI211" t="s">
        <v>76</v>
      </c>
      <c r="AJ211" t="s">
        <v>134</v>
      </c>
      <c r="AK211" t="s">
        <v>815</v>
      </c>
      <c r="AL211" t="s">
        <v>115</v>
      </c>
      <c r="AM211" t="s">
        <v>116</v>
      </c>
      <c r="AN211">
        <v>13</v>
      </c>
      <c r="AO211">
        <v>13</v>
      </c>
      <c r="AP211">
        <v>13</v>
      </c>
      <c r="AQ211" t="s">
        <v>600</v>
      </c>
      <c r="AR211" t="s">
        <v>472</v>
      </c>
      <c r="AS211" t="s">
        <v>807</v>
      </c>
      <c r="AT211" t="s">
        <v>76</v>
      </c>
      <c r="AU211" t="s">
        <v>75</v>
      </c>
      <c r="AV211">
        <v>0.69850000000000001</v>
      </c>
      <c r="AW211">
        <v>0.7954</v>
      </c>
      <c r="AX211">
        <v>0.78459999999999996</v>
      </c>
      <c r="AY211">
        <v>0.69850000000000001</v>
      </c>
      <c r="AZ211">
        <v>0.7954</v>
      </c>
      <c r="BA211">
        <v>0.78459999999999996</v>
      </c>
      <c r="BB211" t="s">
        <v>86</v>
      </c>
      <c r="BC211">
        <v>0.7954</v>
      </c>
      <c r="BD211">
        <v>0.69850000000000001</v>
      </c>
      <c r="BE211">
        <v>0</v>
      </c>
      <c r="BF211">
        <v>5.1999999999999998E-2</v>
      </c>
      <c r="BG211">
        <v>7.3400000000000007E-2</v>
      </c>
      <c r="BH211">
        <v>0.113</v>
      </c>
      <c r="BI211">
        <v>7.3432334000000002E-2</v>
      </c>
      <c r="BJ211">
        <v>5.1999999999999998E-2</v>
      </c>
      <c r="BK211" t="s">
        <v>75</v>
      </c>
      <c r="BL211" t="s">
        <v>813</v>
      </c>
    </row>
    <row r="212" spans="1:64" x14ac:dyDescent="0.55000000000000004">
      <c r="A212" t="s">
        <v>816</v>
      </c>
      <c r="B212">
        <v>61</v>
      </c>
      <c r="C212">
        <v>1</v>
      </c>
      <c r="D212">
        <v>1</v>
      </c>
      <c r="E212">
        <v>1</v>
      </c>
      <c r="F212">
        <v>61.1</v>
      </c>
      <c r="G212" t="s">
        <v>817</v>
      </c>
      <c r="H212" t="s">
        <v>818</v>
      </c>
      <c r="I212" t="s">
        <v>819</v>
      </c>
      <c r="J212">
        <v>2020</v>
      </c>
      <c r="K212" t="s">
        <v>556</v>
      </c>
      <c r="L212" t="s">
        <v>774</v>
      </c>
      <c r="M212" t="s">
        <v>217</v>
      </c>
      <c r="N212" t="s">
        <v>100</v>
      </c>
      <c r="O212" t="s">
        <v>820</v>
      </c>
      <c r="P212" t="s">
        <v>134</v>
      </c>
      <c r="Q212" t="s">
        <v>134</v>
      </c>
      <c r="R212" t="s">
        <v>75</v>
      </c>
      <c r="S212" t="s">
        <v>75</v>
      </c>
      <c r="T212" t="s">
        <v>76</v>
      </c>
      <c r="U212" t="s">
        <v>75</v>
      </c>
      <c r="V212" t="s">
        <v>75</v>
      </c>
      <c r="W212" t="s">
        <v>75</v>
      </c>
      <c r="X212" t="s">
        <v>111</v>
      </c>
      <c r="Y212" t="s">
        <v>111</v>
      </c>
      <c r="Z212" t="s">
        <v>77</v>
      </c>
      <c r="AA212" t="s">
        <v>78</v>
      </c>
      <c r="AB212" t="s">
        <v>134</v>
      </c>
      <c r="AC212" t="s">
        <v>113</v>
      </c>
      <c r="AD212" t="s">
        <v>78</v>
      </c>
      <c r="AE212" t="s">
        <v>79</v>
      </c>
      <c r="AF212" t="s">
        <v>75</v>
      </c>
      <c r="AG212" t="s">
        <v>769</v>
      </c>
      <c r="AH212" t="s">
        <v>76</v>
      </c>
      <c r="AI212" t="s">
        <v>75</v>
      </c>
      <c r="AJ212" t="s">
        <v>134</v>
      </c>
      <c r="AK212" t="s">
        <v>821</v>
      </c>
      <c r="AL212" t="s">
        <v>115</v>
      </c>
      <c r="AM212" t="s">
        <v>116</v>
      </c>
      <c r="AN212">
        <v>20</v>
      </c>
      <c r="AO212">
        <v>20</v>
      </c>
      <c r="AP212">
        <v>20</v>
      </c>
      <c r="AQ212" t="s">
        <v>581</v>
      </c>
      <c r="AR212" t="s">
        <v>472</v>
      </c>
      <c r="AS212" t="s">
        <v>471</v>
      </c>
      <c r="AT212" t="s">
        <v>76</v>
      </c>
      <c r="AU212" t="s">
        <v>75</v>
      </c>
      <c r="AV212">
        <v>0.69699999999999995</v>
      </c>
      <c r="AW212">
        <v>0.746</v>
      </c>
      <c r="AX212">
        <v>0.75900000000000001</v>
      </c>
      <c r="AY212">
        <v>0.69699999999999995</v>
      </c>
      <c r="AZ212">
        <v>0.746</v>
      </c>
      <c r="BA212">
        <v>0.75900000000000001</v>
      </c>
      <c r="BB212" t="s">
        <v>86</v>
      </c>
      <c r="BC212">
        <v>0.746</v>
      </c>
      <c r="BD212">
        <v>0.69699999999999995</v>
      </c>
      <c r="BE212">
        <v>1</v>
      </c>
      <c r="BF212">
        <v>3.4200000000000001E-2</v>
      </c>
      <c r="BG212">
        <v>0.1004</v>
      </c>
      <c r="BH212">
        <v>3.1899999999999998E-2</v>
      </c>
      <c r="BI212">
        <v>0.100394889</v>
      </c>
      <c r="BJ212">
        <v>3.4200000000000001E-2</v>
      </c>
      <c r="BK212" t="s">
        <v>75</v>
      </c>
      <c r="BL212" t="s">
        <v>822</v>
      </c>
    </row>
    <row r="213" spans="1:64" x14ac:dyDescent="0.55000000000000004">
      <c r="A213" t="s">
        <v>816</v>
      </c>
      <c r="B213">
        <v>61</v>
      </c>
      <c r="C213">
        <v>1</v>
      </c>
      <c r="D213">
        <v>1</v>
      </c>
      <c r="E213">
        <v>2</v>
      </c>
      <c r="F213">
        <v>61.1</v>
      </c>
      <c r="G213" t="s">
        <v>823</v>
      </c>
      <c r="H213" t="s">
        <v>818</v>
      </c>
      <c r="I213" t="s">
        <v>819</v>
      </c>
      <c r="J213">
        <v>2020</v>
      </c>
      <c r="K213" t="s">
        <v>556</v>
      </c>
      <c r="L213" t="s">
        <v>774</v>
      </c>
      <c r="M213" t="s">
        <v>217</v>
      </c>
      <c r="N213" t="s">
        <v>100</v>
      </c>
      <c r="O213" t="s">
        <v>820</v>
      </c>
      <c r="P213" t="s">
        <v>134</v>
      </c>
      <c r="Q213" t="s">
        <v>134</v>
      </c>
      <c r="R213" t="s">
        <v>75</v>
      </c>
      <c r="S213" t="s">
        <v>75</v>
      </c>
      <c r="T213" t="s">
        <v>76</v>
      </c>
      <c r="U213" t="s">
        <v>75</v>
      </c>
      <c r="V213" t="s">
        <v>75</v>
      </c>
      <c r="W213" t="s">
        <v>75</v>
      </c>
      <c r="X213" t="s">
        <v>111</v>
      </c>
      <c r="Y213" t="s">
        <v>111</v>
      </c>
      <c r="Z213" t="s">
        <v>77</v>
      </c>
      <c r="AA213" t="s">
        <v>78</v>
      </c>
      <c r="AB213" t="s">
        <v>134</v>
      </c>
      <c r="AC213" t="s">
        <v>113</v>
      </c>
      <c r="AD213" t="s">
        <v>78</v>
      </c>
      <c r="AE213" t="s">
        <v>79</v>
      </c>
      <c r="AF213" t="s">
        <v>75</v>
      </c>
      <c r="AG213" t="s">
        <v>824</v>
      </c>
      <c r="AH213" t="s">
        <v>76</v>
      </c>
      <c r="AI213" t="s">
        <v>75</v>
      </c>
      <c r="AJ213" t="s">
        <v>134</v>
      </c>
      <c r="AK213" t="s">
        <v>821</v>
      </c>
      <c r="AL213" t="s">
        <v>115</v>
      </c>
      <c r="AM213" t="s">
        <v>116</v>
      </c>
      <c r="AN213">
        <v>20</v>
      </c>
      <c r="AO213">
        <v>20</v>
      </c>
      <c r="AP213">
        <v>20</v>
      </c>
      <c r="AQ213" t="s">
        <v>581</v>
      </c>
      <c r="AR213" t="s">
        <v>472</v>
      </c>
      <c r="AS213" t="s">
        <v>471</v>
      </c>
      <c r="AT213" t="s">
        <v>76</v>
      </c>
      <c r="AU213" t="s">
        <v>75</v>
      </c>
      <c r="AV213">
        <v>0.72299999999999998</v>
      </c>
      <c r="AW213">
        <v>0.77300000000000002</v>
      </c>
      <c r="AX213">
        <v>0.78500000000000003</v>
      </c>
      <c r="AY213">
        <v>0.72299999999999998</v>
      </c>
      <c r="AZ213">
        <v>0.77300000000000002</v>
      </c>
      <c r="BA213">
        <v>0.78500000000000003</v>
      </c>
      <c r="BB213" t="s">
        <v>86</v>
      </c>
      <c r="BC213">
        <v>0.77300000000000002</v>
      </c>
      <c r="BD213">
        <v>0.72299999999999998</v>
      </c>
      <c r="BE213">
        <v>1</v>
      </c>
      <c r="BF213">
        <v>4.1099999999999998E-2</v>
      </c>
      <c r="BG213">
        <v>0</v>
      </c>
      <c r="BH213">
        <v>2.9700000000000001E-2</v>
      </c>
      <c r="BI213">
        <v>0</v>
      </c>
      <c r="BJ213">
        <v>4.1099999999999998E-2</v>
      </c>
      <c r="BK213" t="s">
        <v>75</v>
      </c>
      <c r="BL213" t="s">
        <v>822</v>
      </c>
    </row>
    <row r="214" spans="1:64" x14ac:dyDescent="0.55000000000000004">
      <c r="A214" t="s">
        <v>816</v>
      </c>
      <c r="B214">
        <v>61</v>
      </c>
      <c r="C214">
        <v>1</v>
      </c>
      <c r="D214">
        <v>1</v>
      </c>
      <c r="E214">
        <v>3</v>
      </c>
      <c r="F214">
        <v>61.1</v>
      </c>
      <c r="G214" t="s">
        <v>825</v>
      </c>
      <c r="H214" t="s">
        <v>818</v>
      </c>
      <c r="I214" t="s">
        <v>819</v>
      </c>
      <c r="J214">
        <v>2020</v>
      </c>
      <c r="K214" t="s">
        <v>556</v>
      </c>
      <c r="L214" t="s">
        <v>774</v>
      </c>
      <c r="M214" t="s">
        <v>217</v>
      </c>
      <c r="N214" t="s">
        <v>100</v>
      </c>
      <c r="O214" t="s">
        <v>820</v>
      </c>
      <c r="P214" t="s">
        <v>134</v>
      </c>
      <c r="Q214" t="s">
        <v>134</v>
      </c>
      <c r="R214" t="s">
        <v>75</v>
      </c>
      <c r="S214" t="s">
        <v>75</v>
      </c>
      <c r="T214" t="s">
        <v>76</v>
      </c>
      <c r="U214" t="s">
        <v>75</v>
      </c>
      <c r="V214" t="s">
        <v>75</v>
      </c>
      <c r="W214" t="s">
        <v>75</v>
      </c>
      <c r="X214" t="s">
        <v>111</v>
      </c>
      <c r="Y214" t="s">
        <v>111</v>
      </c>
      <c r="Z214" t="s">
        <v>77</v>
      </c>
      <c r="AA214" t="s">
        <v>78</v>
      </c>
      <c r="AB214" t="s">
        <v>134</v>
      </c>
      <c r="AC214" t="s">
        <v>113</v>
      </c>
      <c r="AD214" t="s">
        <v>78</v>
      </c>
      <c r="AE214" t="s">
        <v>79</v>
      </c>
      <c r="AF214" t="s">
        <v>75</v>
      </c>
      <c r="AG214" t="s">
        <v>777</v>
      </c>
      <c r="AH214" t="s">
        <v>76</v>
      </c>
      <c r="AI214" t="s">
        <v>75</v>
      </c>
      <c r="AJ214" t="s">
        <v>134</v>
      </c>
      <c r="AK214" t="s">
        <v>115</v>
      </c>
      <c r="AL214" t="s">
        <v>115</v>
      </c>
      <c r="AM214" t="s">
        <v>116</v>
      </c>
      <c r="AN214">
        <v>20</v>
      </c>
      <c r="AO214">
        <v>20</v>
      </c>
      <c r="AP214">
        <v>20</v>
      </c>
      <c r="AQ214" t="s">
        <v>581</v>
      </c>
      <c r="AR214" t="s">
        <v>472</v>
      </c>
      <c r="AS214" t="s">
        <v>471</v>
      </c>
      <c r="AT214" t="s">
        <v>76</v>
      </c>
      <c r="AU214" t="s">
        <v>75</v>
      </c>
      <c r="AV214">
        <v>0.92700000000000005</v>
      </c>
      <c r="AW214">
        <v>0.95799999999999996</v>
      </c>
      <c r="AX214">
        <v>0.94199999999999995</v>
      </c>
      <c r="AY214">
        <v>0.92700000000000005</v>
      </c>
      <c r="AZ214">
        <v>0.95799999999999996</v>
      </c>
      <c r="BA214">
        <v>0.94199999999999995</v>
      </c>
      <c r="BB214" t="s">
        <v>86</v>
      </c>
      <c r="BC214">
        <v>0.95799999999999996</v>
      </c>
      <c r="BD214">
        <v>0.92700000000000005</v>
      </c>
      <c r="BE214">
        <v>0</v>
      </c>
      <c r="BF214">
        <v>1.6E-2</v>
      </c>
      <c r="BG214">
        <v>0</v>
      </c>
      <c r="BH214">
        <v>1.37E-2</v>
      </c>
      <c r="BI214">
        <v>0</v>
      </c>
      <c r="BJ214">
        <v>1.6E-2</v>
      </c>
      <c r="BK214" t="s">
        <v>75</v>
      </c>
      <c r="BL214" t="s">
        <v>826</v>
      </c>
    </row>
    <row r="215" spans="1:64" x14ac:dyDescent="0.55000000000000004">
      <c r="A215" t="s">
        <v>816</v>
      </c>
      <c r="B215">
        <v>61</v>
      </c>
      <c r="C215">
        <v>1</v>
      </c>
      <c r="D215">
        <v>1</v>
      </c>
      <c r="E215">
        <v>4</v>
      </c>
      <c r="F215">
        <v>61.1</v>
      </c>
      <c r="G215" t="s">
        <v>827</v>
      </c>
      <c r="H215" t="s">
        <v>818</v>
      </c>
      <c r="I215" t="s">
        <v>819</v>
      </c>
      <c r="J215">
        <v>2020</v>
      </c>
      <c r="K215" t="s">
        <v>556</v>
      </c>
      <c r="L215" t="s">
        <v>774</v>
      </c>
      <c r="M215" t="s">
        <v>217</v>
      </c>
      <c r="N215" t="s">
        <v>100</v>
      </c>
      <c r="O215" t="s">
        <v>820</v>
      </c>
      <c r="P215" t="s">
        <v>134</v>
      </c>
      <c r="Q215" t="s">
        <v>134</v>
      </c>
      <c r="R215" t="s">
        <v>75</v>
      </c>
      <c r="S215" t="s">
        <v>75</v>
      </c>
      <c r="T215" t="s">
        <v>76</v>
      </c>
      <c r="U215" t="s">
        <v>75</v>
      </c>
      <c r="V215" t="s">
        <v>75</v>
      </c>
      <c r="W215" t="s">
        <v>75</v>
      </c>
      <c r="X215" t="s">
        <v>111</v>
      </c>
      <c r="Y215" t="s">
        <v>111</v>
      </c>
      <c r="Z215" t="s">
        <v>77</v>
      </c>
      <c r="AA215" t="s">
        <v>78</v>
      </c>
      <c r="AB215" t="s">
        <v>134</v>
      </c>
      <c r="AC215" t="s">
        <v>113</v>
      </c>
      <c r="AD215" t="s">
        <v>78</v>
      </c>
      <c r="AE215" t="s">
        <v>79</v>
      </c>
      <c r="AF215" t="s">
        <v>75</v>
      </c>
      <c r="AG215" t="s">
        <v>777</v>
      </c>
      <c r="AH215" t="s">
        <v>76</v>
      </c>
      <c r="AI215" t="s">
        <v>75</v>
      </c>
      <c r="AJ215" t="s">
        <v>134</v>
      </c>
      <c r="AK215" t="s">
        <v>689</v>
      </c>
      <c r="AL215" t="s">
        <v>115</v>
      </c>
      <c r="AM215" t="s">
        <v>116</v>
      </c>
      <c r="AN215">
        <v>20</v>
      </c>
      <c r="AO215">
        <v>20</v>
      </c>
      <c r="AP215">
        <v>20</v>
      </c>
      <c r="AQ215" t="s">
        <v>581</v>
      </c>
      <c r="AR215" t="s">
        <v>472</v>
      </c>
      <c r="AS215" t="s">
        <v>471</v>
      </c>
      <c r="AT215" t="s">
        <v>76</v>
      </c>
      <c r="AU215" t="s">
        <v>75</v>
      </c>
      <c r="AV215">
        <v>0.93500000000000005</v>
      </c>
      <c r="AW215">
        <v>0.92500000000000004</v>
      </c>
      <c r="AX215">
        <v>0.96099999999999997</v>
      </c>
      <c r="AY215">
        <v>0.93500000000000005</v>
      </c>
      <c r="AZ215">
        <v>0.92500000000000004</v>
      </c>
      <c r="BA215">
        <v>0.96099999999999997</v>
      </c>
      <c r="BB215" t="s">
        <v>79</v>
      </c>
      <c r="BC215">
        <v>0.93500000000000005</v>
      </c>
      <c r="BD215">
        <v>0.92500000000000004</v>
      </c>
      <c r="BE215">
        <v>1</v>
      </c>
      <c r="BF215">
        <v>3.8800000000000001E-2</v>
      </c>
      <c r="BG215">
        <v>0</v>
      </c>
      <c r="BH215">
        <v>2.9700000000000001E-2</v>
      </c>
      <c r="BI215">
        <v>3.8788933999999997E-2</v>
      </c>
      <c r="BJ215">
        <v>0</v>
      </c>
      <c r="BK215" t="s">
        <v>75</v>
      </c>
      <c r="BL215" t="s">
        <v>210</v>
      </c>
    </row>
    <row r="216" spans="1:64" x14ac:dyDescent="0.55000000000000004">
      <c r="A216" t="s">
        <v>816</v>
      </c>
      <c r="B216">
        <v>61</v>
      </c>
      <c r="C216">
        <v>1</v>
      </c>
      <c r="D216">
        <v>1</v>
      </c>
      <c r="E216">
        <v>5</v>
      </c>
      <c r="F216">
        <v>61.1</v>
      </c>
      <c r="G216" t="s">
        <v>828</v>
      </c>
      <c r="H216" t="s">
        <v>818</v>
      </c>
      <c r="I216" t="s">
        <v>819</v>
      </c>
      <c r="J216">
        <v>2020</v>
      </c>
      <c r="K216" t="s">
        <v>556</v>
      </c>
      <c r="L216" t="s">
        <v>774</v>
      </c>
      <c r="M216" t="s">
        <v>217</v>
      </c>
      <c r="N216" t="s">
        <v>100</v>
      </c>
      <c r="O216" t="s">
        <v>820</v>
      </c>
      <c r="P216" t="s">
        <v>134</v>
      </c>
      <c r="Q216" t="s">
        <v>134</v>
      </c>
      <c r="R216" t="s">
        <v>75</v>
      </c>
      <c r="S216" t="s">
        <v>75</v>
      </c>
      <c r="T216" t="s">
        <v>76</v>
      </c>
      <c r="U216" t="s">
        <v>75</v>
      </c>
      <c r="V216" t="s">
        <v>75</v>
      </c>
      <c r="W216" t="s">
        <v>75</v>
      </c>
      <c r="X216" t="s">
        <v>111</v>
      </c>
      <c r="Y216" t="s">
        <v>111</v>
      </c>
      <c r="Z216" t="s">
        <v>77</v>
      </c>
      <c r="AA216" t="s">
        <v>78</v>
      </c>
      <c r="AB216" t="s">
        <v>134</v>
      </c>
      <c r="AC216" t="s">
        <v>113</v>
      </c>
      <c r="AD216" t="s">
        <v>78</v>
      </c>
      <c r="AE216" t="s">
        <v>79</v>
      </c>
      <c r="AF216" t="s">
        <v>75</v>
      </c>
      <c r="AG216" t="s">
        <v>777</v>
      </c>
      <c r="AH216" t="s">
        <v>76</v>
      </c>
      <c r="AI216" t="s">
        <v>75</v>
      </c>
      <c r="AJ216" t="s">
        <v>134</v>
      </c>
      <c r="AK216" t="s">
        <v>692</v>
      </c>
      <c r="AL216" t="s">
        <v>115</v>
      </c>
      <c r="AM216" t="s">
        <v>116</v>
      </c>
      <c r="AN216">
        <v>20</v>
      </c>
      <c r="AO216">
        <v>20</v>
      </c>
      <c r="AP216">
        <v>20</v>
      </c>
      <c r="AQ216" t="s">
        <v>581</v>
      </c>
      <c r="AR216" t="s">
        <v>472</v>
      </c>
      <c r="AS216" t="s">
        <v>471</v>
      </c>
      <c r="AT216" t="s">
        <v>76</v>
      </c>
      <c r="AU216" t="s">
        <v>75</v>
      </c>
      <c r="AV216">
        <v>0.92600000000000005</v>
      </c>
      <c r="AW216">
        <v>0.96499999999999997</v>
      </c>
      <c r="AX216">
        <v>0.93899999999999995</v>
      </c>
      <c r="AY216">
        <v>0.92600000000000005</v>
      </c>
      <c r="AZ216">
        <v>0.96499999999999997</v>
      </c>
      <c r="BA216">
        <v>0.93899999999999995</v>
      </c>
      <c r="BB216" t="s">
        <v>86</v>
      </c>
      <c r="BC216">
        <v>0.96499999999999997</v>
      </c>
      <c r="BD216">
        <v>0.92600000000000005</v>
      </c>
      <c r="BE216">
        <v>0</v>
      </c>
      <c r="BF216">
        <v>1.83E-2</v>
      </c>
      <c r="BG216">
        <v>0</v>
      </c>
      <c r="BH216">
        <v>1.83E-2</v>
      </c>
      <c r="BI216">
        <v>0</v>
      </c>
      <c r="BJ216">
        <v>1.83E-2</v>
      </c>
      <c r="BK216" t="s">
        <v>75</v>
      </c>
      <c r="BL216" t="s">
        <v>218</v>
      </c>
    </row>
    <row r="217" spans="1:64" x14ac:dyDescent="0.55000000000000004">
      <c r="A217" t="s">
        <v>829</v>
      </c>
      <c r="B217">
        <v>62</v>
      </c>
      <c r="C217">
        <v>1</v>
      </c>
      <c r="D217">
        <v>2</v>
      </c>
      <c r="E217">
        <v>2</v>
      </c>
      <c r="F217">
        <v>62.1</v>
      </c>
      <c r="G217" t="s">
        <v>830</v>
      </c>
      <c r="H217" t="s">
        <v>831</v>
      </c>
      <c r="I217" t="s">
        <v>832</v>
      </c>
      <c r="J217">
        <v>2020</v>
      </c>
      <c r="K217" t="s">
        <v>556</v>
      </c>
      <c r="L217" t="s">
        <v>833</v>
      </c>
      <c r="M217" t="s">
        <v>217</v>
      </c>
      <c r="N217" t="s">
        <v>100</v>
      </c>
      <c r="O217" t="s">
        <v>834</v>
      </c>
      <c r="P217" t="s">
        <v>134</v>
      </c>
      <c r="Q217" t="s">
        <v>134</v>
      </c>
      <c r="R217" t="s">
        <v>75</v>
      </c>
      <c r="S217" t="s">
        <v>75</v>
      </c>
      <c r="T217" t="s">
        <v>76</v>
      </c>
      <c r="U217" t="s">
        <v>75</v>
      </c>
      <c r="V217" t="s">
        <v>75</v>
      </c>
      <c r="W217" t="s">
        <v>75</v>
      </c>
      <c r="X217" t="s">
        <v>111</v>
      </c>
      <c r="Y217" t="s">
        <v>111</v>
      </c>
      <c r="Z217" t="s">
        <v>77</v>
      </c>
      <c r="AA217" t="s">
        <v>112</v>
      </c>
      <c r="AB217" t="s">
        <v>134</v>
      </c>
      <c r="AC217" t="s">
        <v>113</v>
      </c>
      <c r="AD217" t="s">
        <v>112</v>
      </c>
      <c r="AE217" t="s">
        <v>79</v>
      </c>
      <c r="AF217" t="s">
        <v>75</v>
      </c>
      <c r="AG217" t="s">
        <v>782</v>
      </c>
      <c r="AH217" t="s">
        <v>76</v>
      </c>
      <c r="AI217" t="s">
        <v>76</v>
      </c>
      <c r="AJ217" t="s">
        <v>91</v>
      </c>
      <c r="AK217" t="s">
        <v>692</v>
      </c>
      <c r="AL217" t="s">
        <v>115</v>
      </c>
      <c r="AM217" t="s">
        <v>116</v>
      </c>
      <c r="AN217">
        <v>302</v>
      </c>
      <c r="AO217">
        <v>302</v>
      </c>
      <c r="AP217">
        <v>302</v>
      </c>
      <c r="AQ217" t="s">
        <v>835</v>
      </c>
      <c r="AR217" t="s">
        <v>472</v>
      </c>
      <c r="AS217" t="s">
        <v>561</v>
      </c>
      <c r="AT217" t="s">
        <v>76</v>
      </c>
      <c r="AU217" t="s">
        <v>75</v>
      </c>
      <c r="AV217">
        <v>0.8</v>
      </c>
      <c r="AW217">
        <v>0.81</v>
      </c>
      <c r="AX217">
        <v>0.86</v>
      </c>
      <c r="AY217">
        <v>0.8</v>
      </c>
      <c r="AZ217">
        <v>0.81</v>
      </c>
      <c r="BA217">
        <v>0.86</v>
      </c>
      <c r="BB217" t="s">
        <v>86</v>
      </c>
      <c r="BC217">
        <v>0.81</v>
      </c>
      <c r="BD217">
        <v>0.8</v>
      </c>
      <c r="BE217">
        <v>1</v>
      </c>
      <c r="BF217">
        <v>0.17730000000000001</v>
      </c>
      <c r="BG217">
        <v>0.17730000000000001</v>
      </c>
      <c r="BH217">
        <v>0.17730000000000001</v>
      </c>
      <c r="BI217">
        <v>0.177328033</v>
      </c>
      <c r="BJ217">
        <v>0.17730000000000001</v>
      </c>
      <c r="BK217" t="s">
        <v>75</v>
      </c>
      <c r="BL217" t="s">
        <v>223</v>
      </c>
    </row>
    <row r="218" spans="1:64" x14ac:dyDescent="0.55000000000000004">
      <c r="A218" t="s">
        <v>829</v>
      </c>
      <c r="B218">
        <v>62</v>
      </c>
      <c r="C218">
        <v>1</v>
      </c>
      <c r="D218">
        <v>2</v>
      </c>
      <c r="E218">
        <v>3</v>
      </c>
      <c r="F218">
        <v>62.1</v>
      </c>
      <c r="G218" t="s">
        <v>836</v>
      </c>
      <c r="H218" t="s">
        <v>831</v>
      </c>
      <c r="I218" t="s">
        <v>832</v>
      </c>
      <c r="J218">
        <v>2020</v>
      </c>
      <c r="K218" t="s">
        <v>556</v>
      </c>
      <c r="L218" t="s">
        <v>833</v>
      </c>
      <c r="M218" t="s">
        <v>217</v>
      </c>
      <c r="N218" t="s">
        <v>100</v>
      </c>
      <c r="O218" t="s">
        <v>834</v>
      </c>
      <c r="P218" t="s">
        <v>134</v>
      </c>
      <c r="Q218" t="s">
        <v>134</v>
      </c>
      <c r="R218" t="s">
        <v>75</v>
      </c>
      <c r="S218" t="s">
        <v>75</v>
      </c>
      <c r="T218" t="s">
        <v>76</v>
      </c>
      <c r="U218" t="s">
        <v>75</v>
      </c>
      <c r="V218" t="s">
        <v>75</v>
      </c>
      <c r="W218" t="s">
        <v>75</v>
      </c>
      <c r="X218" t="s">
        <v>111</v>
      </c>
      <c r="Y218" t="s">
        <v>111</v>
      </c>
      <c r="Z218" t="s">
        <v>77</v>
      </c>
      <c r="AA218" t="s">
        <v>112</v>
      </c>
      <c r="AB218" t="s">
        <v>134</v>
      </c>
      <c r="AC218" t="s">
        <v>113</v>
      </c>
      <c r="AD218" t="s">
        <v>112</v>
      </c>
      <c r="AE218" t="s">
        <v>79</v>
      </c>
      <c r="AF218" t="s">
        <v>75</v>
      </c>
      <c r="AG218" t="s">
        <v>782</v>
      </c>
      <c r="AH218" t="s">
        <v>76</v>
      </c>
      <c r="AI218" t="s">
        <v>76</v>
      </c>
      <c r="AJ218" t="s">
        <v>91</v>
      </c>
      <c r="AK218" t="s">
        <v>689</v>
      </c>
      <c r="AL218" t="s">
        <v>115</v>
      </c>
      <c r="AM218" t="s">
        <v>116</v>
      </c>
      <c r="AN218">
        <v>302</v>
      </c>
      <c r="AO218">
        <v>302</v>
      </c>
      <c r="AP218">
        <v>302</v>
      </c>
      <c r="AQ218" t="s">
        <v>835</v>
      </c>
      <c r="AR218" t="s">
        <v>472</v>
      </c>
      <c r="AS218" t="s">
        <v>561</v>
      </c>
      <c r="AT218" t="s">
        <v>76</v>
      </c>
      <c r="AU218" t="s">
        <v>75</v>
      </c>
      <c r="AV218">
        <v>0.8</v>
      </c>
      <c r="AW218">
        <v>0.92</v>
      </c>
      <c r="AX218">
        <v>0.88</v>
      </c>
      <c r="AY218">
        <v>0.8</v>
      </c>
      <c r="AZ218">
        <v>0.92</v>
      </c>
      <c r="BA218">
        <v>0.88</v>
      </c>
      <c r="BB218" t="s">
        <v>86</v>
      </c>
      <c r="BC218">
        <v>0.92</v>
      </c>
      <c r="BD218">
        <v>0.8</v>
      </c>
      <c r="BE218">
        <v>0</v>
      </c>
      <c r="BF218">
        <v>0.26600000000000001</v>
      </c>
      <c r="BG218">
        <v>0.17730000000000001</v>
      </c>
      <c r="BH218">
        <v>8.8700000000000001E-2</v>
      </c>
      <c r="BI218">
        <v>0.177328033</v>
      </c>
      <c r="BJ218">
        <v>0.26600000000000001</v>
      </c>
      <c r="BK218" t="s">
        <v>75</v>
      </c>
      <c r="BL218" t="s">
        <v>218</v>
      </c>
    </row>
    <row r="219" spans="1:64" x14ac:dyDescent="0.55000000000000004">
      <c r="A219" t="s">
        <v>829</v>
      </c>
      <c r="B219">
        <v>62</v>
      </c>
      <c r="C219">
        <v>1</v>
      </c>
      <c r="D219">
        <v>3</v>
      </c>
      <c r="E219">
        <v>1</v>
      </c>
      <c r="F219">
        <v>62.1</v>
      </c>
      <c r="G219" t="s">
        <v>837</v>
      </c>
      <c r="H219" t="s">
        <v>831</v>
      </c>
      <c r="I219" t="s">
        <v>832</v>
      </c>
      <c r="J219">
        <v>2020</v>
      </c>
      <c r="K219" t="s">
        <v>556</v>
      </c>
      <c r="L219" t="s">
        <v>833</v>
      </c>
      <c r="M219" t="s">
        <v>217</v>
      </c>
      <c r="N219" t="s">
        <v>100</v>
      </c>
      <c r="O219" t="s">
        <v>834</v>
      </c>
      <c r="P219" t="s">
        <v>134</v>
      </c>
      <c r="Q219" t="s">
        <v>134</v>
      </c>
      <c r="R219" t="s">
        <v>75</v>
      </c>
      <c r="S219" t="s">
        <v>75</v>
      </c>
      <c r="T219" t="s">
        <v>76</v>
      </c>
      <c r="U219" t="s">
        <v>75</v>
      </c>
      <c r="V219" t="s">
        <v>75</v>
      </c>
      <c r="W219" t="s">
        <v>75</v>
      </c>
      <c r="X219" t="s">
        <v>111</v>
      </c>
      <c r="Y219" t="s">
        <v>111</v>
      </c>
      <c r="Z219" t="s">
        <v>77</v>
      </c>
      <c r="AA219" t="s">
        <v>112</v>
      </c>
      <c r="AB219" t="s">
        <v>134</v>
      </c>
      <c r="AC219" t="s">
        <v>113</v>
      </c>
      <c r="AD219" t="s">
        <v>112</v>
      </c>
      <c r="AE219" t="s">
        <v>79</v>
      </c>
      <c r="AF219" t="s">
        <v>75</v>
      </c>
      <c r="AG219" t="s">
        <v>792</v>
      </c>
      <c r="AH219" t="s">
        <v>75</v>
      </c>
      <c r="AI219" t="s">
        <v>76</v>
      </c>
      <c r="AK219" t="s">
        <v>692</v>
      </c>
      <c r="AL219" t="s">
        <v>115</v>
      </c>
      <c r="AM219" t="s">
        <v>116</v>
      </c>
      <c r="AN219">
        <v>301</v>
      </c>
      <c r="AO219">
        <v>301</v>
      </c>
      <c r="AP219">
        <v>301</v>
      </c>
      <c r="AQ219" t="s">
        <v>835</v>
      </c>
      <c r="AR219" t="s">
        <v>472</v>
      </c>
      <c r="AS219" t="s">
        <v>561</v>
      </c>
      <c r="AT219" t="s">
        <v>76</v>
      </c>
      <c r="AU219" t="s">
        <v>75</v>
      </c>
      <c r="AV219">
        <v>0.79</v>
      </c>
      <c r="AW219">
        <v>0.83</v>
      </c>
      <c r="AX219">
        <v>0.86</v>
      </c>
      <c r="AY219">
        <v>0.79</v>
      </c>
      <c r="AZ219">
        <v>0.83</v>
      </c>
      <c r="BA219">
        <v>0.86</v>
      </c>
      <c r="BB219" t="s">
        <v>86</v>
      </c>
      <c r="BC219">
        <v>0.83</v>
      </c>
      <c r="BD219">
        <v>0.79</v>
      </c>
      <c r="BE219">
        <v>1</v>
      </c>
      <c r="BF219">
        <v>0.2656</v>
      </c>
      <c r="BG219">
        <v>0.2656</v>
      </c>
      <c r="BH219">
        <v>0.2656</v>
      </c>
      <c r="BI219">
        <v>0.26555129999999999</v>
      </c>
      <c r="BJ219">
        <v>0.2656</v>
      </c>
      <c r="BK219" t="s">
        <v>75</v>
      </c>
      <c r="BL219" t="s">
        <v>223</v>
      </c>
    </row>
    <row r="220" spans="1:64" x14ac:dyDescent="0.55000000000000004">
      <c r="A220" t="s">
        <v>829</v>
      </c>
      <c r="B220">
        <v>62</v>
      </c>
      <c r="C220">
        <v>1</v>
      </c>
      <c r="D220">
        <v>3</v>
      </c>
      <c r="E220">
        <v>2</v>
      </c>
      <c r="F220">
        <v>62.1</v>
      </c>
      <c r="G220" t="s">
        <v>838</v>
      </c>
      <c r="H220" t="s">
        <v>831</v>
      </c>
      <c r="I220" t="s">
        <v>832</v>
      </c>
      <c r="J220">
        <v>2020</v>
      </c>
      <c r="K220" t="s">
        <v>556</v>
      </c>
      <c r="L220" t="s">
        <v>833</v>
      </c>
      <c r="M220" t="s">
        <v>217</v>
      </c>
      <c r="N220" t="s">
        <v>100</v>
      </c>
      <c r="O220" t="s">
        <v>834</v>
      </c>
      <c r="P220" t="s">
        <v>134</v>
      </c>
      <c r="Q220" t="s">
        <v>134</v>
      </c>
      <c r="R220" t="s">
        <v>75</v>
      </c>
      <c r="S220" t="s">
        <v>75</v>
      </c>
      <c r="T220" t="s">
        <v>76</v>
      </c>
      <c r="U220" t="s">
        <v>75</v>
      </c>
      <c r="V220" t="s">
        <v>75</v>
      </c>
      <c r="W220" t="s">
        <v>75</v>
      </c>
      <c r="X220" t="s">
        <v>111</v>
      </c>
      <c r="Y220" t="s">
        <v>111</v>
      </c>
      <c r="Z220" t="s">
        <v>77</v>
      </c>
      <c r="AA220" t="s">
        <v>112</v>
      </c>
      <c r="AB220" t="s">
        <v>134</v>
      </c>
      <c r="AC220" t="s">
        <v>113</v>
      </c>
      <c r="AD220" t="s">
        <v>112</v>
      </c>
      <c r="AE220" t="s">
        <v>79</v>
      </c>
      <c r="AF220" t="s">
        <v>75</v>
      </c>
      <c r="AG220" t="s">
        <v>792</v>
      </c>
      <c r="AH220" t="s">
        <v>75</v>
      </c>
      <c r="AI220" t="s">
        <v>76</v>
      </c>
      <c r="AK220" t="s">
        <v>689</v>
      </c>
      <c r="AL220" t="s">
        <v>115</v>
      </c>
      <c r="AM220" t="s">
        <v>116</v>
      </c>
      <c r="AN220">
        <v>301</v>
      </c>
      <c r="AO220">
        <v>301</v>
      </c>
      <c r="AP220">
        <v>301</v>
      </c>
      <c r="AQ220" t="s">
        <v>835</v>
      </c>
      <c r="AR220" t="s">
        <v>472</v>
      </c>
      <c r="AS220" t="s">
        <v>561</v>
      </c>
      <c r="AT220" t="s">
        <v>76</v>
      </c>
      <c r="AU220" t="s">
        <v>75</v>
      </c>
      <c r="AV220">
        <v>0.8</v>
      </c>
      <c r="AW220">
        <v>0.93</v>
      </c>
      <c r="AX220">
        <v>0.82</v>
      </c>
      <c r="AY220">
        <v>0.8</v>
      </c>
      <c r="AZ220">
        <v>0.93</v>
      </c>
      <c r="BA220">
        <v>0.82</v>
      </c>
      <c r="BB220" t="s">
        <v>86</v>
      </c>
      <c r="BC220">
        <v>0.93</v>
      </c>
      <c r="BD220">
        <v>0.8</v>
      </c>
      <c r="BE220">
        <v>0</v>
      </c>
      <c r="BF220">
        <v>0.17699999999999999</v>
      </c>
      <c r="BG220">
        <v>8.8499999999999995E-2</v>
      </c>
      <c r="BH220">
        <v>0.17699999999999999</v>
      </c>
      <c r="BI220">
        <v>8.8517100000000001E-2</v>
      </c>
      <c r="BJ220">
        <v>0.17699999999999999</v>
      </c>
      <c r="BK220" t="s">
        <v>75</v>
      </c>
      <c r="BL220" t="s">
        <v>839</v>
      </c>
    </row>
    <row r="221" spans="1:64" x14ac:dyDescent="0.55000000000000004">
      <c r="A221" t="s">
        <v>840</v>
      </c>
      <c r="B221">
        <v>63</v>
      </c>
      <c r="C221">
        <v>1</v>
      </c>
      <c r="D221">
        <v>1</v>
      </c>
      <c r="E221">
        <v>1</v>
      </c>
      <c r="F221">
        <v>63.1</v>
      </c>
      <c r="G221" t="s">
        <v>841</v>
      </c>
      <c r="H221" t="s">
        <v>842</v>
      </c>
      <c r="I221" t="s">
        <v>843</v>
      </c>
      <c r="J221">
        <v>2021</v>
      </c>
      <c r="K221" t="s">
        <v>556</v>
      </c>
      <c r="L221" t="s">
        <v>844</v>
      </c>
      <c r="M221" t="s">
        <v>217</v>
      </c>
      <c r="N221" t="s">
        <v>100</v>
      </c>
      <c r="O221" t="s">
        <v>845</v>
      </c>
      <c r="P221" t="s">
        <v>134</v>
      </c>
      <c r="Q221" t="s">
        <v>134</v>
      </c>
      <c r="R221" t="s">
        <v>75</v>
      </c>
      <c r="S221" t="s">
        <v>75</v>
      </c>
      <c r="T221" t="s">
        <v>76</v>
      </c>
      <c r="U221" t="s">
        <v>75</v>
      </c>
      <c r="V221" t="s">
        <v>75</v>
      </c>
      <c r="W221" t="s">
        <v>75</v>
      </c>
      <c r="X221" t="s">
        <v>135</v>
      </c>
      <c r="Y221" t="s">
        <v>135</v>
      </c>
      <c r="Z221" t="s">
        <v>77</v>
      </c>
      <c r="AA221" t="s">
        <v>112</v>
      </c>
      <c r="AB221" t="s">
        <v>134</v>
      </c>
      <c r="AC221" t="s">
        <v>135</v>
      </c>
      <c r="AD221" t="s">
        <v>112</v>
      </c>
      <c r="AE221" t="s">
        <v>79</v>
      </c>
      <c r="AF221" t="s">
        <v>75</v>
      </c>
      <c r="AG221" t="s">
        <v>846</v>
      </c>
      <c r="AH221" t="s">
        <v>76</v>
      </c>
      <c r="AI221" t="s">
        <v>75</v>
      </c>
      <c r="AJ221" t="s">
        <v>74</v>
      </c>
      <c r="AK221" t="s">
        <v>115</v>
      </c>
      <c r="AL221" t="s">
        <v>115</v>
      </c>
      <c r="AM221" t="s">
        <v>116</v>
      </c>
      <c r="AN221">
        <v>68</v>
      </c>
      <c r="AO221">
        <v>68</v>
      </c>
      <c r="AP221">
        <v>60</v>
      </c>
      <c r="AQ221" t="s">
        <v>600</v>
      </c>
      <c r="AR221" t="s">
        <v>565</v>
      </c>
      <c r="AS221" t="s">
        <v>471</v>
      </c>
      <c r="AT221" t="s">
        <v>75</v>
      </c>
      <c r="AU221" t="s">
        <v>75</v>
      </c>
      <c r="AV221">
        <v>0.75</v>
      </c>
      <c r="AW221">
        <v>0.5</v>
      </c>
      <c r="AX221">
        <v>0.75800000000000001</v>
      </c>
      <c r="AY221">
        <v>0.75</v>
      </c>
      <c r="AZ221">
        <v>0.5</v>
      </c>
      <c r="BA221">
        <v>0.75800000000000001</v>
      </c>
      <c r="BB221" t="s">
        <v>79</v>
      </c>
      <c r="BC221">
        <v>0.75</v>
      </c>
      <c r="BD221">
        <v>0.5</v>
      </c>
      <c r="BE221">
        <v>1</v>
      </c>
      <c r="BF221">
        <v>0.433</v>
      </c>
      <c r="BG221">
        <v>0</v>
      </c>
      <c r="BH221">
        <v>0.42799999999999999</v>
      </c>
      <c r="BI221">
        <v>0.433</v>
      </c>
      <c r="BJ221">
        <v>0</v>
      </c>
      <c r="BK221" t="s">
        <v>75</v>
      </c>
      <c r="BL221" t="s">
        <v>847</v>
      </c>
    </row>
    <row r="222" spans="1:64" x14ac:dyDescent="0.55000000000000004">
      <c r="A222" t="s">
        <v>840</v>
      </c>
      <c r="B222">
        <v>63</v>
      </c>
      <c r="C222">
        <v>1</v>
      </c>
      <c r="D222">
        <v>2</v>
      </c>
      <c r="E222">
        <v>1</v>
      </c>
      <c r="F222">
        <v>63.1</v>
      </c>
      <c r="G222" t="s">
        <v>848</v>
      </c>
      <c r="H222" t="s">
        <v>842</v>
      </c>
      <c r="I222" t="s">
        <v>843</v>
      </c>
      <c r="J222">
        <v>2021</v>
      </c>
      <c r="K222" t="s">
        <v>556</v>
      </c>
      <c r="L222" t="s">
        <v>844</v>
      </c>
      <c r="M222" t="s">
        <v>217</v>
      </c>
      <c r="N222" t="s">
        <v>100</v>
      </c>
      <c r="O222" t="s">
        <v>845</v>
      </c>
      <c r="P222" t="s">
        <v>134</v>
      </c>
      <c r="Q222" t="s">
        <v>134</v>
      </c>
      <c r="R222" t="s">
        <v>75</v>
      </c>
      <c r="S222" t="s">
        <v>75</v>
      </c>
      <c r="T222" t="s">
        <v>76</v>
      </c>
      <c r="U222" t="s">
        <v>75</v>
      </c>
      <c r="V222" t="s">
        <v>75</v>
      </c>
      <c r="W222" t="s">
        <v>75</v>
      </c>
      <c r="X222" t="s">
        <v>135</v>
      </c>
      <c r="Y222" t="s">
        <v>135</v>
      </c>
      <c r="Z222" t="s">
        <v>77</v>
      </c>
      <c r="AA222" t="s">
        <v>112</v>
      </c>
      <c r="AB222" t="s">
        <v>134</v>
      </c>
      <c r="AC222" t="s">
        <v>135</v>
      </c>
      <c r="AD222" t="s">
        <v>112</v>
      </c>
      <c r="AE222" t="s">
        <v>79</v>
      </c>
      <c r="AF222" t="s">
        <v>75</v>
      </c>
      <c r="AG222" t="s">
        <v>515</v>
      </c>
      <c r="AH222" t="s">
        <v>76</v>
      </c>
      <c r="AI222" t="s">
        <v>75</v>
      </c>
      <c r="AJ222" t="s">
        <v>74</v>
      </c>
      <c r="AK222" t="s">
        <v>115</v>
      </c>
      <c r="AL222" t="s">
        <v>115</v>
      </c>
      <c r="AM222" t="s">
        <v>116</v>
      </c>
      <c r="AN222">
        <v>12</v>
      </c>
      <c r="AO222">
        <v>12</v>
      </c>
      <c r="AP222">
        <v>11</v>
      </c>
      <c r="AQ222" t="s">
        <v>600</v>
      </c>
      <c r="AR222" t="s">
        <v>472</v>
      </c>
      <c r="AS222" t="s">
        <v>471</v>
      </c>
      <c r="AT222" t="s">
        <v>76</v>
      </c>
      <c r="AU222" t="s">
        <v>75</v>
      </c>
      <c r="AV222">
        <v>0.83330000000000004</v>
      </c>
      <c r="AW222">
        <v>0.5</v>
      </c>
      <c r="AX222">
        <v>0.77300000000000002</v>
      </c>
      <c r="AY222">
        <v>0.83330000000000004</v>
      </c>
      <c r="AZ222">
        <v>0.5</v>
      </c>
      <c r="BA222">
        <v>0.77300000000000002</v>
      </c>
      <c r="BB222" t="s">
        <v>79</v>
      </c>
      <c r="BC222">
        <v>0.83330000000000004</v>
      </c>
      <c r="BD222">
        <v>0.5</v>
      </c>
      <c r="BE222">
        <v>0</v>
      </c>
      <c r="BF222">
        <v>0.37269999999999998</v>
      </c>
      <c r="BG222">
        <v>0</v>
      </c>
      <c r="BH222">
        <v>0.41899999999999998</v>
      </c>
      <c r="BI222">
        <v>0.37269999999999998</v>
      </c>
      <c r="BJ222">
        <v>0</v>
      </c>
      <c r="BK222" t="s">
        <v>75</v>
      </c>
      <c r="BL222" t="s">
        <v>849</v>
      </c>
    </row>
    <row r="223" spans="1:64" x14ac:dyDescent="0.55000000000000004">
      <c r="A223" t="s">
        <v>850</v>
      </c>
      <c r="B223">
        <v>64</v>
      </c>
      <c r="C223">
        <v>1</v>
      </c>
      <c r="D223">
        <v>1</v>
      </c>
      <c r="E223">
        <v>1</v>
      </c>
      <c r="F223">
        <v>64.099999999999994</v>
      </c>
      <c r="G223" t="s">
        <v>851</v>
      </c>
      <c r="H223" t="s">
        <v>852</v>
      </c>
      <c r="I223" t="s">
        <v>853</v>
      </c>
      <c r="J223">
        <v>2022</v>
      </c>
      <c r="K223" t="s">
        <v>556</v>
      </c>
      <c r="L223" t="s">
        <v>854</v>
      </c>
      <c r="M223" t="s">
        <v>217</v>
      </c>
      <c r="N223" t="s">
        <v>100</v>
      </c>
      <c r="O223" t="s">
        <v>855</v>
      </c>
      <c r="P223" t="s">
        <v>134</v>
      </c>
      <c r="Q223" t="s">
        <v>134</v>
      </c>
      <c r="R223" t="s">
        <v>75</v>
      </c>
      <c r="S223" t="s">
        <v>75</v>
      </c>
      <c r="T223" t="s">
        <v>76</v>
      </c>
      <c r="U223" t="s">
        <v>75</v>
      </c>
      <c r="V223" t="s">
        <v>75</v>
      </c>
      <c r="W223" t="s">
        <v>75</v>
      </c>
      <c r="X223" t="s">
        <v>135</v>
      </c>
      <c r="Y223" t="s">
        <v>135</v>
      </c>
      <c r="Z223" t="s">
        <v>77</v>
      </c>
      <c r="AA223" t="s">
        <v>112</v>
      </c>
      <c r="AB223" t="s">
        <v>134</v>
      </c>
      <c r="AC223" t="s">
        <v>135</v>
      </c>
      <c r="AD223" t="s">
        <v>112</v>
      </c>
      <c r="AE223" t="s">
        <v>79</v>
      </c>
      <c r="AF223" t="s">
        <v>75</v>
      </c>
      <c r="AG223" t="s">
        <v>795</v>
      </c>
      <c r="AH223" t="s">
        <v>75</v>
      </c>
      <c r="AI223" t="s">
        <v>76</v>
      </c>
      <c r="AK223" t="s">
        <v>692</v>
      </c>
      <c r="AL223" t="s">
        <v>115</v>
      </c>
      <c r="AM223" t="s">
        <v>116</v>
      </c>
      <c r="AN223">
        <v>7</v>
      </c>
      <c r="AO223">
        <v>7</v>
      </c>
      <c r="AP223">
        <v>7</v>
      </c>
      <c r="AQ223" t="s">
        <v>600</v>
      </c>
      <c r="AR223" t="s">
        <v>472</v>
      </c>
      <c r="AS223" t="s">
        <v>561</v>
      </c>
      <c r="AT223" t="s">
        <v>76</v>
      </c>
      <c r="AU223" t="s">
        <v>75</v>
      </c>
      <c r="AV223">
        <v>0.73429999999999995</v>
      </c>
      <c r="AW223">
        <v>0.61670000000000003</v>
      </c>
      <c r="AX223">
        <v>0.92290000000000005</v>
      </c>
      <c r="AY223">
        <v>0.73429999999999995</v>
      </c>
      <c r="AZ223">
        <v>0.61670000000000003</v>
      </c>
      <c r="BA223">
        <v>0.92290000000000005</v>
      </c>
      <c r="BB223" t="s">
        <v>79</v>
      </c>
      <c r="BC223">
        <v>0.73429999999999995</v>
      </c>
      <c r="BD223">
        <v>0.61670000000000003</v>
      </c>
      <c r="BE223">
        <v>1</v>
      </c>
      <c r="BF223">
        <v>0.18099999999999999</v>
      </c>
      <c r="BG223">
        <v>0</v>
      </c>
      <c r="BH223">
        <v>7.8899999999999998E-2</v>
      </c>
      <c r="BI223">
        <v>0.18100249900000001</v>
      </c>
      <c r="BJ223">
        <v>0</v>
      </c>
      <c r="BK223" t="s">
        <v>75</v>
      </c>
      <c r="BL223" t="s">
        <v>856</v>
      </c>
    </row>
    <row r="224" spans="1:64" x14ac:dyDescent="0.55000000000000004">
      <c r="A224" t="s">
        <v>850</v>
      </c>
      <c r="B224">
        <v>64</v>
      </c>
      <c r="C224">
        <v>1</v>
      </c>
      <c r="D224">
        <v>1</v>
      </c>
      <c r="E224">
        <v>2</v>
      </c>
      <c r="F224">
        <v>64.099999999999994</v>
      </c>
      <c r="G224" t="s">
        <v>857</v>
      </c>
      <c r="H224" t="s">
        <v>852</v>
      </c>
      <c r="I224" t="s">
        <v>853</v>
      </c>
      <c r="J224">
        <v>2022</v>
      </c>
      <c r="K224" t="s">
        <v>556</v>
      </c>
      <c r="L224" t="s">
        <v>854</v>
      </c>
      <c r="M224" t="s">
        <v>217</v>
      </c>
      <c r="N224" t="s">
        <v>100</v>
      </c>
      <c r="O224" t="s">
        <v>855</v>
      </c>
      <c r="P224" t="s">
        <v>134</v>
      </c>
      <c r="Q224" t="s">
        <v>134</v>
      </c>
      <c r="R224" t="s">
        <v>75</v>
      </c>
      <c r="S224" t="s">
        <v>75</v>
      </c>
      <c r="T224" t="s">
        <v>76</v>
      </c>
      <c r="U224" t="s">
        <v>75</v>
      </c>
      <c r="V224" t="s">
        <v>75</v>
      </c>
      <c r="W224" t="s">
        <v>75</v>
      </c>
      <c r="X224" t="s">
        <v>135</v>
      </c>
      <c r="Y224" t="s">
        <v>135</v>
      </c>
      <c r="Z224" t="s">
        <v>77</v>
      </c>
      <c r="AA224" t="s">
        <v>112</v>
      </c>
      <c r="AB224" t="s">
        <v>134</v>
      </c>
      <c r="AC224" t="s">
        <v>135</v>
      </c>
      <c r="AD224" t="s">
        <v>112</v>
      </c>
      <c r="AE224" t="s">
        <v>79</v>
      </c>
      <c r="AF224" t="s">
        <v>75</v>
      </c>
      <c r="AG224" t="s">
        <v>795</v>
      </c>
      <c r="AH224" t="s">
        <v>75</v>
      </c>
      <c r="AI224" t="s">
        <v>76</v>
      </c>
      <c r="AK224" t="s">
        <v>689</v>
      </c>
      <c r="AL224" t="s">
        <v>115</v>
      </c>
      <c r="AM224" t="s">
        <v>116</v>
      </c>
      <c r="AN224">
        <v>7</v>
      </c>
      <c r="AO224">
        <v>7</v>
      </c>
      <c r="AP224">
        <v>7</v>
      </c>
      <c r="AQ224" t="s">
        <v>600</v>
      </c>
      <c r="AR224" t="s">
        <v>472</v>
      </c>
      <c r="AS224" t="s">
        <v>561</v>
      </c>
      <c r="AT224" t="s">
        <v>76</v>
      </c>
      <c r="AU224" t="s">
        <v>75</v>
      </c>
      <c r="AV224">
        <v>0.61429999999999996</v>
      </c>
      <c r="AW224">
        <v>0.8</v>
      </c>
      <c r="AX224">
        <v>0.57140000000000002</v>
      </c>
      <c r="AY224">
        <v>0.61429999999999996</v>
      </c>
      <c r="AZ224">
        <v>0.8</v>
      </c>
      <c r="BA224">
        <v>0.57140000000000002</v>
      </c>
      <c r="BB224" t="s">
        <v>86</v>
      </c>
      <c r="BC224">
        <v>0.8</v>
      </c>
      <c r="BD224">
        <v>0.61429999999999996</v>
      </c>
      <c r="BE224">
        <v>0</v>
      </c>
      <c r="BF224">
        <v>0.1376</v>
      </c>
      <c r="BG224">
        <v>0</v>
      </c>
      <c r="BH224">
        <v>0.12540000000000001</v>
      </c>
      <c r="BI224">
        <v>0</v>
      </c>
      <c r="BJ224">
        <v>0.1376</v>
      </c>
      <c r="BK224" t="s">
        <v>75</v>
      </c>
      <c r="BL224" t="s">
        <v>839</v>
      </c>
    </row>
    <row r="225" spans="1:64" x14ac:dyDescent="0.55000000000000004">
      <c r="A225" t="s">
        <v>850</v>
      </c>
      <c r="B225">
        <v>64</v>
      </c>
      <c r="C225">
        <v>1</v>
      </c>
      <c r="D225">
        <v>1</v>
      </c>
      <c r="E225">
        <v>3</v>
      </c>
      <c r="F225">
        <v>64.099999999999994</v>
      </c>
      <c r="G225" t="s">
        <v>858</v>
      </c>
      <c r="H225" t="s">
        <v>852</v>
      </c>
      <c r="I225" t="s">
        <v>853</v>
      </c>
      <c r="J225">
        <v>2022</v>
      </c>
      <c r="K225" t="s">
        <v>556</v>
      </c>
      <c r="L225" t="s">
        <v>854</v>
      </c>
      <c r="M225" t="s">
        <v>217</v>
      </c>
      <c r="N225" t="s">
        <v>100</v>
      </c>
      <c r="O225" t="s">
        <v>855</v>
      </c>
      <c r="P225" t="s">
        <v>134</v>
      </c>
      <c r="Q225" t="s">
        <v>134</v>
      </c>
      <c r="R225" t="s">
        <v>75</v>
      </c>
      <c r="S225" t="s">
        <v>75</v>
      </c>
      <c r="T225" t="s">
        <v>76</v>
      </c>
      <c r="U225" t="s">
        <v>75</v>
      </c>
      <c r="V225" t="s">
        <v>75</v>
      </c>
      <c r="W225" t="s">
        <v>75</v>
      </c>
      <c r="X225" t="s">
        <v>135</v>
      </c>
      <c r="Y225" t="s">
        <v>135</v>
      </c>
      <c r="Z225" t="s">
        <v>77</v>
      </c>
      <c r="AA225" t="s">
        <v>112</v>
      </c>
      <c r="AB225" t="s">
        <v>134</v>
      </c>
      <c r="AC225" t="s">
        <v>135</v>
      </c>
      <c r="AD225" t="s">
        <v>112</v>
      </c>
      <c r="AE225" t="s">
        <v>79</v>
      </c>
      <c r="AF225" t="s">
        <v>75</v>
      </c>
      <c r="AG225" t="s">
        <v>795</v>
      </c>
      <c r="AH225" t="s">
        <v>75</v>
      </c>
      <c r="AI225" t="s">
        <v>76</v>
      </c>
      <c r="AK225" t="s">
        <v>115</v>
      </c>
      <c r="AL225" t="s">
        <v>115</v>
      </c>
      <c r="AM225" t="s">
        <v>116</v>
      </c>
      <c r="AN225">
        <v>7</v>
      </c>
      <c r="AO225">
        <v>7</v>
      </c>
      <c r="AP225">
        <v>7</v>
      </c>
      <c r="AQ225" t="s">
        <v>600</v>
      </c>
      <c r="AR225" t="s">
        <v>472</v>
      </c>
      <c r="AS225" t="s">
        <v>561</v>
      </c>
      <c r="AT225" t="s">
        <v>76</v>
      </c>
      <c r="AU225" t="s">
        <v>75</v>
      </c>
      <c r="AV225">
        <v>0.69710000000000005</v>
      </c>
      <c r="AW225">
        <v>0.68</v>
      </c>
      <c r="AX225">
        <v>0.80859999999999999</v>
      </c>
      <c r="AY225">
        <v>0.69710000000000005</v>
      </c>
      <c r="AZ225">
        <v>0.68</v>
      </c>
      <c r="BA225">
        <v>0.80859999999999999</v>
      </c>
      <c r="BB225" t="s">
        <v>79</v>
      </c>
      <c r="BC225">
        <v>0.69710000000000005</v>
      </c>
      <c r="BD225">
        <v>0.68</v>
      </c>
      <c r="BE225">
        <v>1</v>
      </c>
      <c r="BF225">
        <v>0.1183</v>
      </c>
      <c r="BG225">
        <v>0</v>
      </c>
      <c r="BH225">
        <v>6.1499999999999999E-2</v>
      </c>
      <c r="BI225">
        <v>0.118281343</v>
      </c>
      <c r="BJ225">
        <v>0</v>
      </c>
      <c r="BK225" t="s">
        <v>75</v>
      </c>
      <c r="BL225" t="s">
        <v>847</v>
      </c>
    </row>
    <row r="226" spans="1:64" x14ac:dyDescent="0.55000000000000004">
      <c r="A226" t="s">
        <v>859</v>
      </c>
      <c r="B226">
        <v>65</v>
      </c>
      <c r="C226">
        <v>1</v>
      </c>
      <c r="D226">
        <v>1</v>
      </c>
      <c r="E226">
        <v>1</v>
      </c>
      <c r="F226">
        <v>65.099999999999994</v>
      </c>
      <c r="G226" t="s">
        <v>860</v>
      </c>
      <c r="H226" t="s">
        <v>861</v>
      </c>
      <c r="I226" t="s">
        <v>862</v>
      </c>
      <c r="J226">
        <v>2022</v>
      </c>
      <c r="K226" t="s">
        <v>556</v>
      </c>
      <c r="L226" t="s">
        <v>863</v>
      </c>
      <c r="M226" t="s">
        <v>217</v>
      </c>
      <c r="N226" t="s">
        <v>100</v>
      </c>
      <c r="O226" t="s">
        <v>864</v>
      </c>
      <c r="P226" t="s">
        <v>134</v>
      </c>
      <c r="Q226" t="s">
        <v>134</v>
      </c>
      <c r="R226" t="s">
        <v>75</v>
      </c>
      <c r="S226" t="s">
        <v>75</v>
      </c>
      <c r="T226" t="s">
        <v>76</v>
      </c>
      <c r="U226" t="s">
        <v>75</v>
      </c>
      <c r="V226" t="s">
        <v>75</v>
      </c>
      <c r="W226" t="s">
        <v>75</v>
      </c>
      <c r="X226" t="s">
        <v>111</v>
      </c>
      <c r="Y226" t="s">
        <v>111</v>
      </c>
      <c r="Z226" t="s">
        <v>77</v>
      </c>
      <c r="AA226" t="s">
        <v>112</v>
      </c>
      <c r="AB226" t="s">
        <v>134</v>
      </c>
      <c r="AC226" t="s">
        <v>113</v>
      </c>
      <c r="AD226" t="s">
        <v>112</v>
      </c>
      <c r="AE226" t="s">
        <v>79</v>
      </c>
      <c r="AF226" t="s">
        <v>75</v>
      </c>
      <c r="AG226" t="s">
        <v>799</v>
      </c>
      <c r="AH226" t="s">
        <v>76</v>
      </c>
      <c r="AI226" t="s">
        <v>75</v>
      </c>
      <c r="AJ226" t="s">
        <v>134</v>
      </c>
      <c r="AK226" t="s">
        <v>115</v>
      </c>
      <c r="AL226" t="s">
        <v>115</v>
      </c>
      <c r="AM226" t="s">
        <v>116</v>
      </c>
      <c r="AN226">
        <v>8</v>
      </c>
      <c r="AO226">
        <v>8</v>
      </c>
      <c r="AP226">
        <v>8</v>
      </c>
      <c r="AQ226" t="s">
        <v>581</v>
      </c>
      <c r="AR226" t="s">
        <v>472</v>
      </c>
      <c r="AS226" t="s">
        <v>471</v>
      </c>
      <c r="AT226" t="s">
        <v>76</v>
      </c>
      <c r="AU226" t="s">
        <v>75</v>
      </c>
      <c r="AV226">
        <v>0.66490000000000005</v>
      </c>
      <c r="AW226">
        <v>0.86950000000000005</v>
      </c>
      <c r="AX226">
        <v>0.73829999999999996</v>
      </c>
      <c r="AY226">
        <v>0.66490000000000005</v>
      </c>
      <c r="AZ226">
        <v>0.86950000000000005</v>
      </c>
      <c r="BA226">
        <v>0.73829999999999996</v>
      </c>
      <c r="BB226" t="s">
        <v>86</v>
      </c>
      <c r="BC226">
        <v>0.86950000000000005</v>
      </c>
      <c r="BD226">
        <v>0.66490000000000005</v>
      </c>
      <c r="BE226">
        <v>0</v>
      </c>
      <c r="BF226">
        <v>7.7299999999999994E-2</v>
      </c>
      <c r="BG226">
        <v>0</v>
      </c>
      <c r="BH226">
        <v>5.7299999999999997E-2</v>
      </c>
      <c r="BI226">
        <v>0</v>
      </c>
      <c r="BJ226">
        <v>7.7299999999999994E-2</v>
      </c>
      <c r="BK226" t="s">
        <v>76</v>
      </c>
      <c r="BL226" t="s">
        <v>849</v>
      </c>
    </row>
    <row r="227" spans="1:64" x14ac:dyDescent="0.55000000000000004">
      <c r="A227" t="s">
        <v>859</v>
      </c>
      <c r="B227">
        <v>65</v>
      </c>
      <c r="C227">
        <v>1</v>
      </c>
      <c r="D227">
        <v>1</v>
      </c>
      <c r="E227">
        <v>2</v>
      </c>
      <c r="F227">
        <v>65.099999999999994</v>
      </c>
      <c r="G227" t="s">
        <v>865</v>
      </c>
      <c r="H227" t="s">
        <v>861</v>
      </c>
      <c r="I227" t="s">
        <v>862</v>
      </c>
      <c r="J227">
        <v>2022</v>
      </c>
      <c r="K227" t="s">
        <v>556</v>
      </c>
      <c r="L227" t="s">
        <v>863</v>
      </c>
      <c r="M227" t="s">
        <v>217</v>
      </c>
      <c r="N227" t="s">
        <v>100</v>
      </c>
      <c r="O227" t="s">
        <v>864</v>
      </c>
      <c r="P227" t="s">
        <v>134</v>
      </c>
      <c r="Q227" t="s">
        <v>134</v>
      </c>
      <c r="R227" t="s">
        <v>75</v>
      </c>
      <c r="S227" t="s">
        <v>75</v>
      </c>
      <c r="T227" t="s">
        <v>76</v>
      </c>
      <c r="U227" t="s">
        <v>75</v>
      </c>
      <c r="V227" t="s">
        <v>75</v>
      </c>
      <c r="W227" t="s">
        <v>75</v>
      </c>
      <c r="X227" t="s">
        <v>111</v>
      </c>
      <c r="Y227" t="s">
        <v>111</v>
      </c>
      <c r="Z227" t="s">
        <v>77</v>
      </c>
      <c r="AA227" t="s">
        <v>112</v>
      </c>
      <c r="AB227" t="s">
        <v>134</v>
      </c>
      <c r="AC227" t="s">
        <v>113</v>
      </c>
      <c r="AD227" t="s">
        <v>112</v>
      </c>
      <c r="AE227" t="s">
        <v>79</v>
      </c>
      <c r="AF227" t="s">
        <v>75</v>
      </c>
      <c r="AG227" t="s">
        <v>799</v>
      </c>
      <c r="AH227" t="s">
        <v>76</v>
      </c>
      <c r="AI227" t="s">
        <v>75</v>
      </c>
      <c r="AJ227" t="s">
        <v>134</v>
      </c>
      <c r="AK227" t="s">
        <v>866</v>
      </c>
      <c r="AL227" t="s">
        <v>867</v>
      </c>
      <c r="AM227" t="s">
        <v>116</v>
      </c>
      <c r="AN227">
        <v>8</v>
      </c>
      <c r="AO227">
        <v>8</v>
      </c>
      <c r="AP227">
        <v>8</v>
      </c>
      <c r="AQ227" t="s">
        <v>581</v>
      </c>
      <c r="AR227" t="s">
        <v>472</v>
      </c>
      <c r="AS227" t="s">
        <v>471</v>
      </c>
      <c r="AT227" t="s">
        <v>76</v>
      </c>
      <c r="AU227" t="s">
        <v>75</v>
      </c>
      <c r="AV227">
        <v>461.44</v>
      </c>
      <c r="AW227">
        <v>221</v>
      </c>
      <c r="AX227">
        <v>305.70999999999998</v>
      </c>
      <c r="AY227">
        <v>-461.44</v>
      </c>
      <c r="AZ227">
        <v>-221</v>
      </c>
      <c r="BA227">
        <v>-305.70999999999998</v>
      </c>
      <c r="BB227" t="s">
        <v>86</v>
      </c>
      <c r="BC227">
        <v>-221</v>
      </c>
      <c r="BD227">
        <v>-461.44</v>
      </c>
      <c r="BE227">
        <v>0</v>
      </c>
      <c r="BF227">
        <v>117.96</v>
      </c>
      <c r="BG227">
        <v>0</v>
      </c>
      <c r="BH227">
        <v>82.43</v>
      </c>
      <c r="BI227">
        <v>0</v>
      </c>
      <c r="BJ227">
        <v>117.96</v>
      </c>
      <c r="BK227" t="s">
        <v>76</v>
      </c>
      <c r="BL227" t="s">
        <v>856</v>
      </c>
    </row>
    <row r="228" spans="1:64" s="1" customFormat="1" x14ac:dyDescent="0.55000000000000004">
      <c r="A228" s="1" t="s">
        <v>205</v>
      </c>
      <c r="B228" s="1">
        <v>68</v>
      </c>
      <c r="C228" s="1">
        <v>1</v>
      </c>
      <c r="D228" s="1">
        <v>1</v>
      </c>
      <c r="E228" s="1">
        <v>1</v>
      </c>
      <c r="F228" s="1">
        <v>68.099999999999994</v>
      </c>
      <c r="G228" s="1" t="s">
        <v>868</v>
      </c>
      <c r="H228" s="1" t="s">
        <v>207</v>
      </c>
      <c r="I228" s="1" t="s">
        <v>208</v>
      </c>
      <c r="J228" s="1">
        <v>2022</v>
      </c>
      <c r="K228" s="1" t="s">
        <v>556</v>
      </c>
      <c r="L228" s="1" t="s">
        <v>209</v>
      </c>
      <c r="M228" s="1" t="s">
        <v>108</v>
      </c>
      <c r="N228" s="1" t="s">
        <v>72</v>
      </c>
      <c r="O228" s="1" t="s">
        <v>869</v>
      </c>
      <c r="P228" s="1" t="s">
        <v>161</v>
      </c>
      <c r="Q228" s="1" t="s">
        <v>162</v>
      </c>
      <c r="R228" s="1" t="s">
        <v>76</v>
      </c>
      <c r="S228" s="1" t="s">
        <v>75</v>
      </c>
      <c r="T228" s="1" t="s">
        <v>75</v>
      </c>
      <c r="U228" s="1" t="s">
        <v>76</v>
      </c>
      <c r="V228" s="1" t="s">
        <v>75</v>
      </c>
      <c r="W228" s="1" t="s">
        <v>75</v>
      </c>
      <c r="X228" s="1" t="s">
        <v>74</v>
      </c>
      <c r="Y228" s="1" t="s">
        <v>74</v>
      </c>
      <c r="Z228" s="1" t="s">
        <v>77</v>
      </c>
      <c r="AA228" s="1" t="s">
        <v>78</v>
      </c>
      <c r="AB228" s="1" t="s">
        <v>161</v>
      </c>
      <c r="AC228" s="1" t="s">
        <v>179</v>
      </c>
      <c r="AD228" s="1" t="s">
        <v>78</v>
      </c>
      <c r="AE228" s="1" t="s">
        <v>79</v>
      </c>
      <c r="AF228" s="1" t="s">
        <v>75</v>
      </c>
      <c r="AG228" s="1" t="s">
        <v>826</v>
      </c>
      <c r="AH228" s="1" t="s">
        <v>75</v>
      </c>
      <c r="AI228" s="1" t="s">
        <v>76</v>
      </c>
      <c r="AK228" s="1" t="s">
        <v>181</v>
      </c>
      <c r="AL228" s="1" t="s">
        <v>82</v>
      </c>
      <c r="AM228" s="1" t="s">
        <v>83</v>
      </c>
      <c r="AN228" s="1">
        <v>154</v>
      </c>
      <c r="AO228" s="1">
        <v>53</v>
      </c>
      <c r="AP228" s="1">
        <v>53</v>
      </c>
      <c r="AQ228" s="1" t="s">
        <v>84</v>
      </c>
      <c r="AR228" s="1" t="s">
        <v>84</v>
      </c>
      <c r="AS228" s="1" t="s">
        <v>164</v>
      </c>
      <c r="AT228" s="1" t="s">
        <v>75</v>
      </c>
      <c r="AU228" s="1" t="s">
        <v>76</v>
      </c>
      <c r="AV228" s="1">
        <v>251282</v>
      </c>
      <c r="AW228" s="1">
        <v>163080</v>
      </c>
      <c r="AX228" s="1">
        <v>160095</v>
      </c>
      <c r="AY228" s="1">
        <v>-251282</v>
      </c>
      <c r="AZ228" s="1">
        <v>-163080</v>
      </c>
      <c r="BA228" s="1">
        <v>-160095</v>
      </c>
      <c r="BB228" s="1" t="s">
        <v>86</v>
      </c>
      <c r="BC228" s="1">
        <v>-163080</v>
      </c>
      <c r="BD228" s="1">
        <v>-251282</v>
      </c>
      <c r="BE228" s="1">
        <v>1</v>
      </c>
      <c r="BF228" s="1">
        <v>61968</v>
      </c>
      <c r="BG228" s="1">
        <v>0</v>
      </c>
      <c r="BH228" s="1">
        <v>18562</v>
      </c>
      <c r="BI228" s="1">
        <v>0</v>
      </c>
      <c r="BJ228" s="1">
        <v>61968</v>
      </c>
      <c r="BK228" s="1" t="s">
        <v>75</v>
      </c>
      <c r="BL228" s="1" t="s">
        <v>870</v>
      </c>
    </row>
    <row r="229" spans="1:64" x14ac:dyDescent="0.55000000000000004">
      <c r="A229" t="s">
        <v>871</v>
      </c>
      <c r="B229">
        <v>77</v>
      </c>
      <c r="C229">
        <v>1</v>
      </c>
      <c r="D229">
        <v>1</v>
      </c>
      <c r="E229">
        <v>1</v>
      </c>
      <c r="F229">
        <v>77.099999999999994</v>
      </c>
      <c r="G229" t="s">
        <v>872</v>
      </c>
      <c r="H229" t="s">
        <v>873</v>
      </c>
      <c r="I229" t="s">
        <v>874</v>
      </c>
      <c r="J229">
        <v>2021</v>
      </c>
      <c r="K229" t="s">
        <v>556</v>
      </c>
      <c r="L229" t="s">
        <v>875</v>
      </c>
      <c r="M229" t="s">
        <v>217</v>
      </c>
      <c r="N229" t="s">
        <v>100</v>
      </c>
      <c r="O229" t="s">
        <v>876</v>
      </c>
      <c r="P229" t="s">
        <v>134</v>
      </c>
      <c r="Q229" t="s">
        <v>134</v>
      </c>
      <c r="R229" t="s">
        <v>75</v>
      </c>
      <c r="S229" t="s">
        <v>75</v>
      </c>
      <c r="T229" t="s">
        <v>76</v>
      </c>
      <c r="U229" t="s">
        <v>75</v>
      </c>
      <c r="V229" t="s">
        <v>75</v>
      </c>
      <c r="W229" t="s">
        <v>75</v>
      </c>
      <c r="X229" t="s">
        <v>135</v>
      </c>
      <c r="Y229" t="s">
        <v>135</v>
      </c>
      <c r="Z229" t="s">
        <v>77</v>
      </c>
      <c r="AA229" t="s">
        <v>112</v>
      </c>
      <c r="AB229" t="s">
        <v>134</v>
      </c>
      <c r="AC229" t="s">
        <v>91</v>
      </c>
      <c r="AD229" t="s">
        <v>112</v>
      </c>
      <c r="AE229" t="s">
        <v>79</v>
      </c>
      <c r="AF229" t="s">
        <v>75</v>
      </c>
      <c r="AG229" t="s">
        <v>877</v>
      </c>
      <c r="AH229" t="s">
        <v>76</v>
      </c>
      <c r="AI229" t="s">
        <v>76</v>
      </c>
      <c r="AJ229" t="s">
        <v>134</v>
      </c>
      <c r="AK229" t="s">
        <v>878</v>
      </c>
      <c r="AL229" t="s">
        <v>718</v>
      </c>
      <c r="AM229" t="s">
        <v>116</v>
      </c>
      <c r="AN229">
        <v>18</v>
      </c>
      <c r="AO229">
        <v>18</v>
      </c>
      <c r="AP229">
        <v>18</v>
      </c>
      <c r="AQ229" t="s">
        <v>644</v>
      </c>
      <c r="AR229" t="s">
        <v>472</v>
      </c>
      <c r="AS229" t="s">
        <v>637</v>
      </c>
      <c r="AT229" t="s">
        <v>76</v>
      </c>
      <c r="AU229" t="s">
        <v>75</v>
      </c>
      <c r="AV229">
        <v>0.83</v>
      </c>
      <c r="AW229">
        <v>0.84</v>
      </c>
      <c r="AX229">
        <v>0.86</v>
      </c>
      <c r="AY229">
        <v>0.83</v>
      </c>
      <c r="AZ229">
        <v>0.84</v>
      </c>
      <c r="BA229">
        <v>0.86</v>
      </c>
      <c r="BB229" t="s">
        <v>86</v>
      </c>
      <c r="BC229">
        <v>0.84</v>
      </c>
      <c r="BD229">
        <v>0.83</v>
      </c>
      <c r="BE229">
        <v>1</v>
      </c>
      <c r="BF229">
        <v>0.04</v>
      </c>
      <c r="BG229">
        <v>0</v>
      </c>
      <c r="BH229">
        <v>0.03</v>
      </c>
      <c r="BI229">
        <v>0</v>
      </c>
      <c r="BJ229">
        <v>0.04</v>
      </c>
      <c r="BK229" t="s">
        <v>75</v>
      </c>
      <c r="BL229" t="s">
        <v>879</v>
      </c>
    </row>
    <row r="230" spans="1:64" x14ac:dyDescent="0.55000000000000004">
      <c r="A230" t="s">
        <v>880</v>
      </c>
      <c r="B230">
        <v>78</v>
      </c>
      <c r="C230">
        <v>1</v>
      </c>
      <c r="D230">
        <v>1</v>
      </c>
      <c r="E230">
        <v>1</v>
      </c>
      <c r="F230">
        <v>78.099999999999994</v>
      </c>
      <c r="G230" t="s">
        <v>881</v>
      </c>
      <c r="H230" t="s">
        <v>882</v>
      </c>
      <c r="I230" t="s">
        <v>883</v>
      </c>
      <c r="J230">
        <v>2021</v>
      </c>
      <c r="K230" t="s">
        <v>556</v>
      </c>
      <c r="L230" t="s">
        <v>884</v>
      </c>
      <c r="M230" t="s">
        <v>217</v>
      </c>
      <c r="N230" t="s">
        <v>100</v>
      </c>
      <c r="O230" t="s">
        <v>876</v>
      </c>
      <c r="P230" t="s">
        <v>134</v>
      </c>
      <c r="Q230" t="s">
        <v>134</v>
      </c>
      <c r="R230" t="s">
        <v>75</v>
      </c>
      <c r="S230" t="s">
        <v>75</v>
      </c>
      <c r="T230" t="s">
        <v>76</v>
      </c>
      <c r="U230" t="s">
        <v>75</v>
      </c>
      <c r="V230" t="s">
        <v>75</v>
      </c>
      <c r="W230" t="s">
        <v>75</v>
      </c>
      <c r="X230" t="s">
        <v>135</v>
      </c>
      <c r="Y230" t="s">
        <v>135</v>
      </c>
      <c r="Z230" t="s">
        <v>77</v>
      </c>
      <c r="AA230" t="s">
        <v>112</v>
      </c>
      <c r="AB230" t="s">
        <v>134</v>
      </c>
      <c r="AC230" t="s">
        <v>885</v>
      </c>
      <c r="AD230" t="s">
        <v>112</v>
      </c>
      <c r="AE230" t="s">
        <v>79</v>
      </c>
      <c r="AF230" t="s">
        <v>75</v>
      </c>
      <c r="AG230" t="s">
        <v>877</v>
      </c>
      <c r="AH230" t="s">
        <v>76</v>
      </c>
      <c r="AI230" t="s">
        <v>75</v>
      </c>
      <c r="AJ230" t="s">
        <v>134</v>
      </c>
      <c r="AK230" t="s">
        <v>878</v>
      </c>
      <c r="AL230" t="s">
        <v>718</v>
      </c>
      <c r="AM230" t="s">
        <v>116</v>
      </c>
      <c r="AN230">
        <v>12</v>
      </c>
      <c r="AO230">
        <v>12</v>
      </c>
      <c r="AP230">
        <v>12</v>
      </c>
      <c r="AQ230" t="s">
        <v>644</v>
      </c>
      <c r="AR230" t="s">
        <v>472</v>
      </c>
      <c r="AS230" t="s">
        <v>637</v>
      </c>
      <c r="AT230" t="s">
        <v>76</v>
      </c>
      <c r="AU230" t="s">
        <v>75</v>
      </c>
      <c r="AV230">
        <v>0.81</v>
      </c>
      <c r="AW230">
        <v>0.84</v>
      </c>
      <c r="AX230">
        <v>0.85</v>
      </c>
      <c r="AY230">
        <v>0.81</v>
      </c>
      <c r="AZ230">
        <v>0.84</v>
      </c>
      <c r="BA230">
        <v>0.85</v>
      </c>
      <c r="BB230" t="s">
        <v>86</v>
      </c>
      <c r="BC230">
        <v>0.84</v>
      </c>
      <c r="BD230">
        <v>0.81</v>
      </c>
      <c r="BE230">
        <v>1</v>
      </c>
      <c r="BF230">
        <v>0.04</v>
      </c>
      <c r="BG230">
        <v>0</v>
      </c>
      <c r="BH230">
        <v>0.03</v>
      </c>
      <c r="BI230">
        <v>0</v>
      </c>
      <c r="BJ230">
        <v>0.04</v>
      </c>
      <c r="BK230" t="s">
        <v>75</v>
      </c>
      <c r="BL230" t="s">
        <v>886</v>
      </c>
    </row>
    <row r="231" spans="1:64" x14ac:dyDescent="0.55000000000000004">
      <c r="A231" t="s">
        <v>880</v>
      </c>
      <c r="B231">
        <v>78</v>
      </c>
      <c r="C231">
        <v>1</v>
      </c>
      <c r="D231">
        <v>1</v>
      </c>
      <c r="E231">
        <v>2</v>
      </c>
      <c r="F231">
        <v>78.099999999999994</v>
      </c>
      <c r="G231" t="s">
        <v>887</v>
      </c>
      <c r="H231" t="s">
        <v>882</v>
      </c>
      <c r="I231" t="s">
        <v>883</v>
      </c>
      <c r="J231">
        <v>2021</v>
      </c>
      <c r="K231" t="s">
        <v>556</v>
      </c>
      <c r="L231" t="s">
        <v>884</v>
      </c>
      <c r="M231" t="s">
        <v>217</v>
      </c>
      <c r="N231" t="s">
        <v>100</v>
      </c>
      <c r="O231" t="s">
        <v>876</v>
      </c>
      <c r="P231" t="s">
        <v>134</v>
      </c>
      <c r="Q231" t="s">
        <v>134</v>
      </c>
      <c r="R231" t="s">
        <v>75</v>
      </c>
      <c r="S231" t="s">
        <v>75</v>
      </c>
      <c r="T231" t="s">
        <v>76</v>
      </c>
      <c r="U231" t="s">
        <v>75</v>
      </c>
      <c r="V231" t="s">
        <v>75</v>
      </c>
      <c r="W231" t="s">
        <v>75</v>
      </c>
      <c r="X231" t="s">
        <v>135</v>
      </c>
      <c r="Y231" t="s">
        <v>135</v>
      </c>
      <c r="Z231" t="s">
        <v>77</v>
      </c>
      <c r="AA231" t="s">
        <v>112</v>
      </c>
      <c r="AB231" t="s">
        <v>134</v>
      </c>
      <c r="AC231" t="s">
        <v>885</v>
      </c>
      <c r="AD231" t="s">
        <v>112</v>
      </c>
      <c r="AE231" t="s">
        <v>79</v>
      </c>
      <c r="AF231" t="s">
        <v>75</v>
      </c>
      <c r="AG231" t="s">
        <v>877</v>
      </c>
      <c r="AH231" t="s">
        <v>76</v>
      </c>
      <c r="AI231" t="s">
        <v>75</v>
      </c>
      <c r="AJ231" t="s">
        <v>134</v>
      </c>
      <c r="AK231" t="s">
        <v>692</v>
      </c>
      <c r="AL231" t="s">
        <v>115</v>
      </c>
      <c r="AM231" t="s">
        <v>116</v>
      </c>
      <c r="AN231">
        <v>12</v>
      </c>
      <c r="AO231">
        <v>12</v>
      </c>
      <c r="AP231">
        <v>12</v>
      </c>
      <c r="AQ231" t="s">
        <v>644</v>
      </c>
      <c r="AR231" t="s">
        <v>472</v>
      </c>
      <c r="AS231" t="s">
        <v>637</v>
      </c>
      <c r="AT231" t="s">
        <v>76</v>
      </c>
      <c r="AU231" t="s">
        <v>75</v>
      </c>
      <c r="AV231">
        <v>0.69</v>
      </c>
      <c r="AW231">
        <v>0.81</v>
      </c>
      <c r="AX231">
        <v>0.69</v>
      </c>
      <c r="AY231">
        <v>0.69</v>
      </c>
      <c r="AZ231">
        <v>0.81</v>
      </c>
      <c r="BA231">
        <v>0.69</v>
      </c>
      <c r="BB231" t="s">
        <v>86</v>
      </c>
      <c r="BC231">
        <v>0.81</v>
      </c>
      <c r="BD231">
        <v>0.69</v>
      </c>
      <c r="BE231">
        <v>0</v>
      </c>
      <c r="BF231">
        <v>0.16</v>
      </c>
      <c r="BG231">
        <v>0</v>
      </c>
      <c r="BH231">
        <v>0.19</v>
      </c>
      <c r="BI231">
        <v>0</v>
      </c>
      <c r="BJ231">
        <v>0.16</v>
      </c>
      <c r="BK231" t="s">
        <v>75</v>
      </c>
      <c r="BL231" t="s">
        <v>886</v>
      </c>
    </row>
    <row r="232" spans="1:64" x14ac:dyDescent="0.55000000000000004">
      <c r="A232" t="s">
        <v>880</v>
      </c>
      <c r="B232">
        <v>78</v>
      </c>
      <c r="C232">
        <v>1</v>
      </c>
      <c r="D232">
        <v>1</v>
      </c>
      <c r="E232">
        <v>3</v>
      </c>
      <c r="F232">
        <v>78.099999999999994</v>
      </c>
      <c r="G232" t="s">
        <v>888</v>
      </c>
      <c r="H232" t="s">
        <v>882</v>
      </c>
      <c r="I232" t="s">
        <v>883</v>
      </c>
      <c r="J232">
        <v>2021</v>
      </c>
      <c r="K232" t="s">
        <v>556</v>
      </c>
      <c r="L232" t="s">
        <v>884</v>
      </c>
      <c r="M232" t="s">
        <v>217</v>
      </c>
      <c r="N232" t="s">
        <v>100</v>
      </c>
      <c r="O232" t="s">
        <v>876</v>
      </c>
      <c r="P232" t="s">
        <v>134</v>
      </c>
      <c r="Q232" t="s">
        <v>134</v>
      </c>
      <c r="R232" t="s">
        <v>75</v>
      </c>
      <c r="S232" t="s">
        <v>75</v>
      </c>
      <c r="T232" t="s">
        <v>76</v>
      </c>
      <c r="U232" t="s">
        <v>75</v>
      </c>
      <c r="V232" t="s">
        <v>75</v>
      </c>
      <c r="W232" t="s">
        <v>75</v>
      </c>
      <c r="X232" t="s">
        <v>135</v>
      </c>
      <c r="Y232" t="s">
        <v>135</v>
      </c>
      <c r="Z232" t="s">
        <v>77</v>
      </c>
      <c r="AA232" t="s">
        <v>112</v>
      </c>
      <c r="AB232" t="s">
        <v>134</v>
      </c>
      <c r="AC232" t="s">
        <v>885</v>
      </c>
      <c r="AD232" t="s">
        <v>112</v>
      </c>
      <c r="AE232" t="s">
        <v>79</v>
      </c>
      <c r="AF232" t="s">
        <v>75</v>
      </c>
      <c r="AG232" t="s">
        <v>877</v>
      </c>
      <c r="AH232" t="s">
        <v>76</v>
      </c>
      <c r="AI232" t="s">
        <v>75</v>
      </c>
      <c r="AJ232" t="s">
        <v>134</v>
      </c>
      <c r="AK232" t="s">
        <v>689</v>
      </c>
      <c r="AL232" t="s">
        <v>115</v>
      </c>
      <c r="AM232" t="s">
        <v>116</v>
      </c>
      <c r="AN232">
        <v>12</v>
      </c>
      <c r="AO232">
        <v>12</v>
      </c>
      <c r="AP232">
        <v>12</v>
      </c>
      <c r="AQ232" t="s">
        <v>644</v>
      </c>
      <c r="AR232" t="s">
        <v>472</v>
      </c>
      <c r="AS232" t="s">
        <v>637</v>
      </c>
      <c r="AT232" t="s">
        <v>76</v>
      </c>
      <c r="AU232" t="s">
        <v>75</v>
      </c>
      <c r="AV232">
        <v>0.82</v>
      </c>
      <c r="AW232">
        <v>0.79</v>
      </c>
      <c r="AX232">
        <v>0.88</v>
      </c>
      <c r="AY232">
        <v>0.82</v>
      </c>
      <c r="AZ232">
        <v>0.79</v>
      </c>
      <c r="BA232">
        <v>0.88</v>
      </c>
      <c r="BB232" t="s">
        <v>79</v>
      </c>
      <c r="BC232">
        <v>0.82</v>
      </c>
      <c r="BD232">
        <v>0.79</v>
      </c>
      <c r="BE232">
        <v>1</v>
      </c>
      <c r="BF232">
        <v>0.05</v>
      </c>
      <c r="BG232">
        <v>0</v>
      </c>
      <c r="BH232">
        <v>7.0000000000000007E-2</v>
      </c>
      <c r="BI232">
        <v>0.05</v>
      </c>
      <c r="BJ232">
        <v>0</v>
      </c>
      <c r="BK232" t="s">
        <v>75</v>
      </c>
      <c r="BL232" t="s">
        <v>886</v>
      </c>
    </row>
    <row r="233" spans="1:64" x14ac:dyDescent="0.55000000000000004">
      <c r="A233" t="s">
        <v>889</v>
      </c>
      <c r="B233">
        <v>79</v>
      </c>
      <c r="C233">
        <v>1</v>
      </c>
      <c r="D233">
        <v>1</v>
      </c>
      <c r="E233">
        <v>1</v>
      </c>
      <c r="F233">
        <v>79.099999999999994</v>
      </c>
      <c r="G233" t="s">
        <v>520</v>
      </c>
      <c r="H233" t="s">
        <v>890</v>
      </c>
      <c r="I233" t="s">
        <v>891</v>
      </c>
      <c r="J233">
        <v>2022</v>
      </c>
      <c r="K233" t="s">
        <v>556</v>
      </c>
      <c r="L233" t="s">
        <v>892</v>
      </c>
      <c r="M233" t="s">
        <v>217</v>
      </c>
      <c r="N233" t="s">
        <v>100</v>
      </c>
      <c r="O233" t="s">
        <v>893</v>
      </c>
      <c r="P233" t="s">
        <v>134</v>
      </c>
      <c r="Q233" t="s">
        <v>134</v>
      </c>
      <c r="R233" t="s">
        <v>75</v>
      </c>
      <c r="S233" t="s">
        <v>75</v>
      </c>
      <c r="T233" t="s">
        <v>76</v>
      </c>
      <c r="U233" t="s">
        <v>75</v>
      </c>
      <c r="V233" t="s">
        <v>75</v>
      </c>
      <c r="W233" t="s">
        <v>75</v>
      </c>
      <c r="X233" t="s">
        <v>135</v>
      </c>
      <c r="Y233" t="s">
        <v>135</v>
      </c>
      <c r="Z233" t="s">
        <v>77</v>
      </c>
      <c r="AA233" t="s">
        <v>235</v>
      </c>
      <c r="AB233" t="s">
        <v>134</v>
      </c>
      <c r="AC233" t="s">
        <v>885</v>
      </c>
      <c r="AD233" t="s">
        <v>235</v>
      </c>
      <c r="AE233" t="s">
        <v>79</v>
      </c>
      <c r="AF233" t="s">
        <v>75</v>
      </c>
      <c r="AG233" t="s">
        <v>894</v>
      </c>
      <c r="AH233" t="s">
        <v>75</v>
      </c>
      <c r="AI233" t="s">
        <v>75</v>
      </c>
      <c r="AK233" t="s">
        <v>115</v>
      </c>
      <c r="AL233" t="s">
        <v>115</v>
      </c>
      <c r="AM233" t="s">
        <v>116</v>
      </c>
      <c r="AN233">
        <v>55</v>
      </c>
      <c r="AO233">
        <v>55</v>
      </c>
      <c r="AP233">
        <v>55</v>
      </c>
      <c r="AQ233" t="s">
        <v>895</v>
      </c>
      <c r="AR233" t="s">
        <v>895</v>
      </c>
      <c r="AS233" t="s">
        <v>896</v>
      </c>
      <c r="AT233" t="s">
        <v>75</v>
      </c>
      <c r="AU233" t="s">
        <v>75</v>
      </c>
      <c r="AV233">
        <v>0.68</v>
      </c>
      <c r="AW233">
        <v>0.7</v>
      </c>
      <c r="AX233">
        <v>0.76</v>
      </c>
      <c r="AY233">
        <v>0.68</v>
      </c>
      <c r="AZ233">
        <v>0.7</v>
      </c>
      <c r="BA233">
        <v>0.76</v>
      </c>
      <c r="BB233" t="s">
        <v>86</v>
      </c>
      <c r="BC233">
        <v>0.7</v>
      </c>
      <c r="BD233">
        <v>0.68</v>
      </c>
      <c r="BE233">
        <v>1</v>
      </c>
      <c r="BF233">
        <v>0.47</v>
      </c>
      <c r="BG233">
        <v>0</v>
      </c>
      <c r="BH233">
        <v>0.43</v>
      </c>
      <c r="BI233">
        <v>0</v>
      </c>
      <c r="BJ233">
        <v>0.47</v>
      </c>
      <c r="BK233" t="s">
        <v>75</v>
      </c>
    </row>
    <row r="234" spans="1:64" x14ac:dyDescent="0.55000000000000004">
      <c r="A234" t="s">
        <v>889</v>
      </c>
      <c r="B234">
        <v>79</v>
      </c>
      <c r="C234">
        <v>2</v>
      </c>
      <c r="D234">
        <v>1</v>
      </c>
      <c r="E234">
        <v>1</v>
      </c>
      <c r="F234">
        <v>79.2</v>
      </c>
      <c r="G234" t="s">
        <v>524</v>
      </c>
      <c r="H234" t="s">
        <v>890</v>
      </c>
      <c r="I234" t="s">
        <v>891</v>
      </c>
      <c r="J234">
        <v>2022</v>
      </c>
      <c r="K234" t="s">
        <v>556</v>
      </c>
      <c r="L234" t="s">
        <v>892</v>
      </c>
      <c r="M234" t="s">
        <v>217</v>
      </c>
      <c r="N234" t="s">
        <v>100</v>
      </c>
      <c r="O234" t="s">
        <v>897</v>
      </c>
      <c r="P234" t="s">
        <v>134</v>
      </c>
      <c r="Q234" t="s">
        <v>134</v>
      </c>
      <c r="R234" t="s">
        <v>75</v>
      </c>
      <c r="S234" t="s">
        <v>75</v>
      </c>
      <c r="T234" t="s">
        <v>76</v>
      </c>
      <c r="U234" t="s">
        <v>75</v>
      </c>
      <c r="V234" t="s">
        <v>75</v>
      </c>
      <c r="W234" t="s">
        <v>75</v>
      </c>
      <c r="X234" t="s">
        <v>135</v>
      </c>
      <c r="Y234" t="s">
        <v>135</v>
      </c>
      <c r="Z234" t="s">
        <v>77</v>
      </c>
      <c r="AA234" t="s">
        <v>235</v>
      </c>
      <c r="AB234" t="s">
        <v>134</v>
      </c>
      <c r="AC234" t="s">
        <v>885</v>
      </c>
      <c r="AD234" t="s">
        <v>235</v>
      </c>
      <c r="AE234" t="s">
        <v>79</v>
      </c>
      <c r="AF234" t="s">
        <v>75</v>
      </c>
      <c r="AG234" t="s">
        <v>898</v>
      </c>
      <c r="AH234" t="s">
        <v>75</v>
      </c>
      <c r="AI234" t="s">
        <v>75</v>
      </c>
      <c r="AK234" t="s">
        <v>115</v>
      </c>
      <c r="AL234" t="s">
        <v>115</v>
      </c>
      <c r="AM234" t="s">
        <v>116</v>
      </c>
      <c r="AN234">
        <v>32</v>
      </c>
      <c r="AO234">
        <v>32</v>
      </c>
      <c r="AP234">
        <v>32</v>
      </c>
      <c r="AQ234" t="s">
        <v>895</v>
      </c>
      <c r="AR234" t="s">
        <v>895</v>
      </c>
      <c r="AS234" t="s">
        <v>896</v>
      </c>
      <c r="AT234" t="s">
        <v>75</v>
      </c>
      <c r="AU234" t="s">
        <v>75</v>
      </c>
      <c r="AV234">
        <v>0.74</v>
      </c>
      <c r="AW234">
        <v>0.7</v>
      </c>
      <c r="AX234">
        <v>0.77</v>
      </c>
      <c r="AY234">
        <v>0.74</v>
      </c>
      <c r="AZ234">
        <v>0.7</v>
      </c>
      <c r="BA234">
        <v>0.77</v>
      </c>
      <c r="BB234" t="s">
        <v>79</v>
      </c>
      <c r="BC234">
        <v>0.74</v>
      </c>
      <c r="BD234">
        <v>0.7</v>
      </c>
      <c r="BE234">
        <v>1</v>
      </c>
      <c r="BF234">
        <v>0.44</v>
      </c>
      <c r="BG234">
        <v>0</v>
      </c>
      <c r="BH234">
        <v>0.42</v>
      </c>
      <c r="BI234">
        <v>0.44</v>
      </c>
      <c r="BJ234">
        <v>0</v>
      </c>
      <c r="BK234" t="s">
        <v>75</v>
      </c>
    </row>
    <row r="235" spans="1:64" x14ac:dyDescent="0.55000000000000004">
      <c r="A235" t="s">
        <v>899</v>
      </c>
      <c r="B235">
        <v>80</v>
      </c>
      <c r="C235">
        <v>1</v>
      </c>
      <c r="D235">
        <v>1</v>
      </c>
      <c r="E235">
        <v>1</v>
      </c>
      <c r="F235">
        <v>80.099999999999994</v>
      </c>
      <c r="G235" t="s">
        <v>900</v>
      </c>
      <c r="H235" t="s">
        <v>901</v>
      </c>
      <c r="I235" t="s">
        <v>902</v>
      </c>
      <c r="J235">
        <v>2022</v>
      </c>
      <c r="K235" t="s">
        <v>556</v>
      </c>
      <c r="L235" t="s">
        <v>597</v>
      </c>
      <c r="M235" t="s">
        <v>217</v>
      </c>
      <c r="N235" t="s">
        <v>100</v>
      </c>
      <c r="O235" t="s">
        <v>903</v>
      </c>
      <c r="P235" t="s">
        <v>134</v>
      </c>
      <c r="Q235" t="s">
        <v>134</v>
      </c>
      <c r="R235" t="s">
        <v>75</v>
      </c>
      <c r="S235" t="s">
        <v>75</v>
      </c>
      <c r="T235" t="s">
        <v>76</v>
      </c>
      <c r="U235" t="s">
        <v>75</v>
      </c>
      <c r="V235" t="s">
        <v>75</v>
      </c>
      <c r="W235" t="s">
        <v>75</v>
      </c>
      <c r="X235" t="s">
        <v>135</v>
      </c>
      <c r="Y235" t="s">
        <v>135</v>
      </c>
      <c r="Z235" t="s">
        <v>77</v>
      </c>
      <c r="AA235" t="s">
        <v>112</v>
      </c>
      <c r="AB235" t="s">
        <v>134</v>
      </c>
      <c r="AC235" t="s">
        <v>91</v>
      </c>
      <c r="AD235" t="s">
        <v>112</v>
      </c>
      <c r="AE235" t="s">
        <v>79</v>
      </c>
      <c r="AF235" t="s">
        <v>75</v>
      </c>
      <c r="AG235" t="s">
        <v>904</v>
      </c>
      <c r="AH235" t="s">
        <v>76</v>
      </c>
      <c r="AI235" t="s">
        <v>76</v>
      </c>
      <c r="AJ235" t="s">
        <v>91</v>
      </c>
      <c r="AK235" t="s">
        <v>398</v>
      </c>
      <c r="AL235" t="s">
        <v>115</v>
      </c>
      <c r="AM235" t="s">
        <v>116</v>
      </c>
      <c r="AN235">
        <v>45</v>
      </c>
      <c r="AO235">
        <v>45</v>
      </c>
      <c r="AP235">
        <v>45</v>
      </c>
      <c r="AQ235" t="s">
        <v>600</v>
      </c>
      <c r="AR235" t="s">
        <v>600</v>
      </c>
      <c r="AS235" t="s">
        <v>637</v>
      </c>
      <c r="AT235" t="s">
        <v>76</v>
      </c>
      <c r="AU235" t="s">
        <v>75</v>
      </c>
      <c r="AV235">
        <v>0.31</v>
      </c>
      <c r="AW235">
        <v>0.81</v>
      </c>
      <c r="AX235">
        <v>0.66</v>
      </c>
      <c r="AY235">
        <v>0.31</v>
      </c>
      <c r="AZ235">
        <v>0.81</v>
      </c>
      <c r="BA235">
        <v>0.66</v>
      </c>
      <c r="BB235" t="s">
        <v>86</v>
      </c>
      <c r="BC235">
        <v>0.81</v>
      </c>
      <c r="BD235">
        <v>0.31</v>
      </c>
      <c r="BE235">
        <v>0</v>
      </c>
      <c r="BF235">
        <v>0.39</v>
      </c>
      <c r="BG235">
        <v>0</v>
      </c>
      <c r="BH235">
        <v>0.34</v>
      </c>
      <c r="BI235">
        <v>0</v>
      </c>
      <c r="BJ235">
        <v>0.39</v>
      </c>
      <c r="BK235" t="s">
        <v>75</v>
      </c>
    </row>
    <row r="236" spans="1:64" x14ac:dyDescent="0.55000000000000004">
      <c r="A236" t="s">
        <v>899</v>
      </c>
      <c r="B236">
        <v>80</v>
      </c>
      <c r="C236">
        <v>1</v>
      </c>
      <c r="D236">
        <v>1</v>
      </c>
      <c r="E236">
        <v>2</v>
      </c>
      <c r="F236">
        <v>80.099999999999994</v>
      </c>
      <c r="G236" t="s">
        <v>905</v>
      </c>
      <c r="H236" t="s">
        <v>901</v>
      </c>
      <c r="I236" t="s">
        <v>902</v>
      </c>
      <c r="J236">
        <v>2022</v>
      </c>
      <c r="K236" t="s">
        <v>556</v>
      </c>
      <c r="L236" t="s">
        <v>597</v>
      </c>
      <c r="M236" t="s">
        <v>217</v>
      </c>
      <c r="N236" t="s">
        <v>100</v>
      </c>
      <c r="O236" t="s">
        <v>903</v>
      </c>
      <c r="P236" t="s">
        <v>134</v>
      </c>
      <c r="Q236" t="s">
        <v>134</v>
      </c>
      <c r="R236" t="s">
        <v>75</v>
      </c>
      <c r="S236" t="s">
        <v>75</v>
      </c>
      <c r="T236" t="s">
        <v>76</v>
      </c>
      <c r="U236" t="s">
        <v>75</v>
      </c>
      <c r="V236" t="s">
        <v>75</v>
      </c>
      <c r="W236" t="s">
        <v>75</v>
      </c>
      <c r="X236" t="s">
        <v>135</v>
      </c>
      <c r="Y236" t="s">
        <v>135</v>
      </c>
      <c r="Z236" t="s">
        <v>77</v>
      </c>
      <c r="AA236" t="s">
        <v>112</v>
      </c>
      <c r="AB236" t="s">
        <v>134</v>
      </c>
      <c r="AC236" t="s">
        <v>91</v>
      </c>
      <c r="AD236" t="s">
        <v>112</v>
      </c>
      <c r="AE236" t="s">
        <v>79</v>
      </c>
      <c r="AF236" t="s">
        <v>75</v>
      </c>
      <c r="AG236" t="s">
        <v>904</v>
      </c>
      <c r="AH236" t="s">
        <v>76</v>
      </c>
      <c r="AI236" t="s">
        <v>76</v>
      </c>
      <c r="AJ236" t="s">
        <v>91</v>
      </c>
      <c r="AK236" t="s">
        <v>591</v>
      </c>
      <c r="AL236" t="s">
        <v>115</v>
      </c>
      <c r="AM236" t="s">
        <v>116</v>
      </c>
      <c r="AN236">
        <v>45</v>
      </c>
      <c r="AO236">
        <v>45</v>
      </c>
      <c r="AP236">
        <v>45</v>
      </c>
      <c r="AQ236" t="s">
        <v>600</v>
      </c>
      <c r="AR236" t="s">
        <v>600</v>
      </c>
      <c r="AS236" t="s">
        <v>637</v>
      </c>
      <c r="AT236" t="s">
        <v>76</v>
      </c>
      <c r="AU236" t="s">
        <v>75</v>
      </c>
      <c r="AV236">
        <v>0.67</v>
      </c>
      <c r="AW236">
        <v>0.71</v>
      </c>
      <c r="AX236">
        <v>0.62</v>
      </c>
      <c r="AY236">
        <v>0.67</v>
      </c>
      <c r="AZ236">
        <v>0.71</v>
      </c>
      <c r="BA236">
        <v>0.62</v>
      </c>
      <c r="BB236" t="s">
        <v>86</v>
      </c>
      <c r="BC236">
        <v>0.71</v>
      </c>
      <c r="BD236">
        <v>0.67</v>
      </c>
      <c r="BE236">
        <v>0</v>
      </c>
      <c r="BF236">
        <v>0.16</v>
      </c>
      <c r="BG236">
        <v>0</v>
      </c>
      <c r="BH236">
        <v>0.27</v>
      </c>
      <c r="BI236">
        <v>0</v>
      </c>
      <c r="BJ236">
        <v>0.16</v>
      </c>
      <c r="BK236" t="s">
        <v>75</v>
      </c>
    </row>
    <row r="237" spans="1:64" x14ac:dyDescent="0.55000000000000004">
      <c r="A237" t="s">
        <v>906</v>
      </c>
      <c r="B237">
        <v>39</v>
      </c>
      <c r="C237">
        <v>1</v>
      </c>
      <c r="D237">
        <v>1</v>
      </c>
      <c r="E237">
        <v>1</v>
      </c>
      <c r="F237">
        <v>39.1</v>
      </c>
      <c r="G237" t="s">
        <v>907</v>
      </c>
      <c r="H237" t="s">
        <v>908</v>
      </c>
      <c r="I237" t="s">
        <v>909</v>
      </c>
      <c r="J237">
        <v>2021</v>
      </c>
      <c r="K237" t="s">
        <v>556</v>
      </c>
      <c r="L237" t="s">
        <v>910</v>
      </c>
      <c r="M237" t="s">
        <v>217</v>
      </c>
      <c r="N237" t="s">
        <v>100</v>
      </c>
      <c r="O237" t="s">
        <v>911</v>
      </c>
      <c r="P237" t="s">
        <v>134</v>
      </c>
      <c r="Q237" t="s">
        <v>134</v>
      </c>
      <c r="R237" t="s">
        <v>75</v>
      </c>
      <c r="S237" t="s">
        <v>75</v>
      </c>
      <c r="T237" t="s">
        <v>76</v>
      </c>
      <c r="U237" t="s">
        <v>75</v>
      </c>
      <c r="V237" t="s">
        <v>75</v>
      </c>
      <c r="W237" t="s">
        <v>75</v>
      </c>
      <c r="X237" t="s">
        <v>135</v>
      </c>
      <c r="Y237" t="s">
        <v>135</v>
      </c>
      <c r="Z237" t="s">
        <v>77</v>
      </c>
      <c r="AA237" t="s">
        <v>112</v>
      </c>
      <c r="AB237" t="s">
        <v>134</v>
      </c>
      <c r="AC237" t="s">
        <v>135</v>
      </c>
      <c r="AD237" t="s">
        <v>112</v>
      </c>
      <c r="AE237" t="s">
        <v>79</v>
      </c>
      <c r="AF237" t="s">
        <v>75</v>
      </c>
      <c r="AH237" t="s">
        <v>75</v>
      </c>
      <c r="AI237" t="s">
        <v>76</v>
      </c>
      <c r="AK237" t="s">
        <v>689</v>
      </c>
      <c r="AL237" t="s">
        <v>115</v>
      </c>
      <c r="AM237" t="s">
        <v>116</v>
      </c>
      <c r="AN237">
        <v>34</v>
      </c>
      <c r="AO237">
        <v>34</v>
      </c>
      <c r="AP237">
        <v>34</v>
      </c>
      <c r="AQ237" t="s">
        <v>912</v>
      </c>
      <c r="AR237" t="s">
        <v>565</v>
      </c>
      <c r="AS237" t="s">
        <v>471</v>
      </c>
      <c r="AT237" t="s">
        <v>76</v>
      </c>
      <c r="AU237" t="s">
        <v>75</v>
      </c>
      <c r="AV237">
        <v>0.65</v>
      </c>
      <c r="AW237">
        <v>0.8871</v>
      </c>
      <c r="AX237">
        <v>0.81</v>
      </c>
      <c r="AY237">
        <v>0.65</v>
      </c>
      <c r="AZ237">
        <v>0.8871</v>
      </c>
      <c r="BA237">
        <v>0.81</v>
      </c>
      <c r="BB237" t="s">
        <v>86</v>
      </c>
      <c r="BC237">
        <v>0.8871</v>
      </c>
      <c r="BD237">
        <v>0.65</v>
      </c>
      <c r="BE237">
        <v>0</v>
      </c>
      <c r="BF237">
        <v>0.24</v>
      </c>
      <c r="BG237">
        <v>0</v>
      </c>
      <c r="BH237">
        <v>0.16</v>
      </c>
      <c r="BI237">
        <v>0</v>
      </c>
      <c r="BJ237">
        <v>0.24</v>
      </c>
      <c r="BK237" t="s">
        <v>75</v>
      </c>
      <c r="BL237" t="s">
        <v>483</v>
      </c>
    </row>
    <row r="238" spans="1:64" x14ac:dyDescent="0.55000000000000004">
      <c r="A238" t="s">
        <v>906</v>
      </c>
      <c r="B238">
        <v>39</v>
      </c>
      <c r="C238">
        <v>1</v>
      </c>
      <c r="D238">
        <v>1</v>
      </c>
      <c r="E238">
        <v>2</v>
      </c>
      <c r="F238">
        <v>39.1</v>
      </c>
      <c r="G238" t="s">
        <v>913</v>
      </c>
      <c r="H238" t="s">
        <v>908</v>
      </c>
      <c r="I238" t="s">
        <v>909</v>
      </c>
      <c r="J238">
        <v>2021</v>
      </c>
      <c r="K238" t="s">
        <v>556</v>
      </c>
      <c r="L238" t="s">
        <v>910</v>
      </c>
      <c r="M238" t="s">
        <v>217</v>
      </c>
      <c r="N238" t="s">
        <v>100</v>
      </c>
      <c r="O238" t="s">
        <v>911</v>
      </c>
      <c r="P238" t="s">
        <v>134</v>
      </c>
      <c r="Q238" t="s">
        <v>134</v>
      </c>
      <c r="R238" t="s">
        <v>75</v>
      </c>
      <c r="S238" t="s">
        <v>75</v>
      </c>
      <c r="T238" t="s">
        <v>76</v>
      </c>
      <c r="U238" t="s">
        <v>75</v>
      </c>
      <c r="V238" t="s">
        <v>75</v>
      </c>
      <c r="W238" t="s">
        <v>75</v>
      </c>
      <c r="X238" t="s">
        <v>135</v>
      </c>
      <c r="Y238" t="s">
        <v>135</v>
      </c>
      <c r="Z238" t="s">
        <v>77</v>
      </c>
      <c r="AA238" t="s">
        <v>112</v>
      </c>
      <c r="AB238" t="s">
        <v>134</v>
      </c>
      <c r="AC238" t="s">
        <v>135</v>
      </c>
      <c r="AD238" t="s">
        <v>112</v>
      </c>
      <c r="AE238" t="s">
        <v>79</v>
      </c>
      <c r="AF238" t="s">
        <v>75</v>
      </c>
      <c r="AH238" t="s">
        <v>75</v>
      </c>
      <c r="AI238" t="s">
        <v>76</v>
      </c>
      <c r="AK238" t="s">
        <v>692</v>
      </c>
      <c r="AL238" t="s">
        <v>115</v>
      </c>
      <c r="AM238" t="s">
        <v>116</v>
      </c>
      <c r="AN238">
        <v>34</v>
      </c>
      <c r="AO238">
        <v>34</v>
      </c>
      <c r="AP238">
        <v>34</v>
      </c>
      <c r="AQ238" t="s">
        <v>912</v>
      </c>
      <c r="AR238" t="s">
        <v>565</v>
      </c>
      <c r="AS238" t="s">
        <v>471</v>
      </c>
      <c r="AT238" t="s">
        <v>76</v>
      </c>
      <c r="AU238" t="s">
        <v>75</v>
      </c>
      <c r="AV238">
        <v>0.93</v>
      </c>
      <c r="AW238">
        <v>0.91220000000000001</v>
      </c>
      <c r="AX238">
        <v>0.95</v>
      </c>
      <c r="AY238">
        <v>0.93</v>
      </c>
      <c r="AZ238">
        <v>0.91220000000000001</v>
      </c>
      <c r="BA238">
        <v>0.95</v>
      </c>
      <c r="BB238" t="s">
        <v>79</v>
      </c>
      <c r="BC238">
        <v>0.93</v>
      </c>
      <c r="BD238">
        <v>0.91220000000000001</v>
      </c>
      <c r="BE238">
        <v>1</v>
      </c>
      <c r="BF238">
        <v>0.13</v>
      </c>
      <c r="BG238">
        <v>0</v>
      </c>
      <c r="BH238">
        <v>0.89</v>
      </c>
      <c r="BI238">
        <v>0.13</v>
      </c>
      <c r="BJ238">
        <v>0</v>
      </c>
      <c r="BK238" t="s">
        <v>75</v>
      </c>
      <c r="BL238" t="s">
        <v>709</v>
      </c>
    </row>
    <row r="239" spans="1:64" x14ac:dyDescent="0.55000000000000004">
      <c r="A239" t="s">
        <v>906</v>
      </c>
      <c r="B239">
        <v>39</v>
      </c>
      <c r="C239">
        <v>2</v>
      </c>
      <c r="D239">
        <v>1</v>
      </c>
      <c r="E239">
        <v>1</v>
      </c>
      <c r="F239">
        <v>39.200000000000003</v>
      </c>
      <c r="G239" t="s">
        <v>914</v>
      </c>
      <c r="H239" t="s">
        <v>908</v>
      </c>
      <c r="I239" t="s">
        <v>909</v>
      </c>
      <c r="J239">
        <v>2021</v>
      </c>
      <c r="K239" t="s">
        <v>556</v>
      </c>
      <c r="L239" t="s">
        <v>910</v>
      </c>
      <c r="M239" t="s">
        <v>217</v>
      </c>
      <c r="N239" t="s">
        <v>100</v>
      </c>
      <c r="O239" t="s">
        <v>911</v>
      </c>
      <c r="P239" t="s">
        <v>134</v>
      </c>
      <c r="Q239" t="s">
        <v>134</v>
      </c>
      <c r="R239" t="s">
        <v>75</v>
      </c>
      <c r="S239" t="s">
        <v>75</v>
      </c>
      <c r="T239" t="s">
        <v>76</v>
      </c>
      <c r="U239" t="s">
        <v>75</v>
      </c>
      <c r="V239" t="s">
        <v>75</v>
      </c>
      <c r="W239" t="s">
        <v>75</v>
      </c>
      <c r="X239" t="s">
        <v>135</v>
      </c>
      <c r="Y239" t="s">
        <v>135</v>
      </c>
      <c r="Z239" t="s">
        <v>77</v>
      </c>
      <c r="AA239" t="s">
        <v>112</v>
      </c>
      <c r="AB239" t="s">
        <v>134</v>
      </c>
      <c r="AC239" t="s">
        <v>135</v>
      </c>
      <c r="AD239" t="s">
        <v>112</v>
      </c>
      <c r="AE239" t="s">
        <v>79</v>
      </c>
      <c r="AF239" t="s">
        <v>75</v>
      </c>
      <c r="AH239" t="s">
        <v>75</v>
      </c>
      <c r="AI239" t="s">
        <v>76</v>
      </c>
      <c r="AK239" t="s">
        <v>689</v>
      </c>
      <c r="AL239" t="s">
        <v>115</v>
      </c>
      <c r="AM239" t="s">
        <v>116</v>
      </c>
      <c r="AN239">
        <v>19</v>
      </c>
      <c r="AO239">
        <v>19</v>
      </c>
      <c r="AP239">
        <v>19</v>
      </c>
      <c r="AQ239" t="s">
        <v>915</v>
      </c>
      <c r="AR239" t="s">
        <v>472</v>
      </c>
      <c r="AS239" t="s">
        <v>471</v>
      </c>
      <c r="AT239" t="s">
        <v>76</v>
      </c>
      <c r="AU239" t="s">
        <v>75</v>
      </c>
      <c r="AV239">
        <v>0.85</v>
      </c>
      <c r="AW239">
        <v>0.8871</v>
      </c>
      <c r="AX239">
        <v>0.89</v>
      </c>
      <c r="AY239">
        <v>0.85</v>
      </c>
      <c r="AZ239">
        <v>0.8871</v>
      </c>
      <c r="BA239">
        <v>0.89</v>
      </c>
      <c r="BB239" t="s">
        <v>86</v>
      </c>
      <c r="BC239">
        <v>0.8871</v>
      </c>
      <c r="BD239">
        <v>0.85</v>
      </c>
      <c r="BE239">
        <v>1</v>
      </c>
      <c r="BF239">
        <v>0.13</v>
      </c>
      <c r="BG239">
        <v>0</v>
      </c>
      <c r="BH239">
        <v>0.12</v>
      </c>
      <c r="BI239">
        <v>0</v>
      </c>
      <c r="BJ239">
        <v>0.13</v>
      </c>
      <c r="BK239" t="s">
        <v>75</v>
      </c>
      <c r="BL239" t="s">
        <v>712</v>
      </c>
    </row>
    <row r="240" spans="1:64" x14ac:dyDescent="0.55000000000000004">
      <c r="A240" t="s">
        <v>906</v>
      </c>
      <c r="B240">
        <v>39</v>
      </c>
      <c r="C240">
        <v>2</v>
      </c>
      <c r="D240">
        <v>1</v>
      </c>
      <c r="E240">
        <v>2</v>
      </c>
      <c r="F240">
        <v>39.200000000000003</v>
      </c>
      <c r="G240" t="s">
        <v>916</v>
      </c>
      <c r="H240" t="s">
        <v>908</v>
      </c>
      <c r="I240" t="s">
        <v>909</v>
      </c>
      <c r="J240">
        <v>2021</v>
      </c>
      <c r="K240" t="s">
        <v>556</v>
      </c>
      <c r="L240" t="s">
        <v>910</v>
      </c>
      <c r="M240" t="s">
        <v>217</v>
      </c>
      <c r="N240" t="s">
        <v>100</v>
      </c>
      <c r="O240" t="s">
        <v>911</v>
      </c>
      <c r="P240" t="s">
        <v>134</v>
      </c>
      <c r="Q240" t="s">
        <v>134</v>
      </c>
      <c r="R240" t="s">
        <v>75</v>
      </c>
      <c r="S240" t="s">
        <v>75</v>
      </c>
      <c r="T240" t="s">
        <v>76</v>
      </c>
      <c r="U240" t="s">
        <v>75</v>
      </c>
      <c r="V240" t="s">
        <v>75</v>
      </c>
      <c r="W240" t="s">
        <v>75</v>
      </c>
      <c r="X240" t="s">
        <v>135</v>
      </c>
      <c r="Y240" t="s">
        <v>135</v>
      </c>
      <c r="Z240" t="s">
        <v>77</v>
      </c>
      <c r="AA240" t="s">
        <v>112</v>
      </c>
      <c r="AB240" t="s">
        <v>134</v>
      </c>
      <c r="AC240" t="s">
        <v>135</v>
      </c>
      <c r="AD240" t="s">
        <v>112</v>
      </c>
      <c r="AE240" t="s">
        <v>79</v>
      </c>
      <c r="AF240" t="s">
        <v>75</v>
      </c>
      <c r="AH240" t="s">
        <v>75</v>
      </c>
      <c r="AI240" t="s">
        <v>76</v>
      </c>
      <c r="AK240" t="s">
        <v>692</v>
      </c>
      <c r="AL240" t="s">
        <v>115</v>
      </c>
      <c r="AM240" t="s">
        <v>116</v>
      </c>
      <c r="AN240">
        <v>19</v>
      </c>
      <c r="AO240">
        <v>19</v>
      </c>
      <c r="AP240">
        <v>19</v>
      </c>
      <c r="AQ240" t="s">
        <v>915</v>
      </c>
      <c r="AR240" t="s">
        <v>472</v>
      </c>
      <c r="AS240" t="s">
        <v>471</v>
      </c>
      <c r="AT240" t="s">
        <v>76</v>
      </c>
      <c r="AU240" t="s">
        <v>75</v>
      </c>
      <c r="AV240">
        <v>0.93</v>
      </c>
      <c r="AW240">
        <v>0.91220000000000001</v>
      </c>
      <c r="AX240">
        <v>0.96</v>
      </c>
      <c r="AY240">
        <v>0.93</v>
      </c>
      <c r="AZ240">
        <v>0.91220000000000001</v>
      </c>
      <c r="BA240">
        <v>0.96</v>
      </c>
      <c r="BB240" t="s">
        <v>79</v>
      </c>
      <c r="BC240">
        <v>0.93</v>
      </c>
      <c r="BD240">
        <v>0.91220000000000001</v>
      </c>
      <c r="BE240">
        <v>1</v>
      </c>
      <c r="BF240">
        <v>0.11</v>
      </c>
      <c r="BG240">
        <v>0</v>
      </c>
      <c r="BH240">
        <v>0.67</v>
      </c>
      <c r="BI240">
        <v>0.11</v>
      </c>
      <c r="BJ240">
        <v>0</v>
      </c>
      <c r="BK240" t="s">
        <v>75</v>
      </c>
      <c r="BL240" t="s">
        <v>275</v>
      </c>
    </row>
    <row r="241" spans="1:65" x14ac:dyDescent="0.55000000000000004">
      <c r="A241" t="s">
        <v>917</v>
      </c>
      <c r="B241">
        <v>46</v>
      </c>
      <c r="C241">
        <v>1</v>
      </c>
      <c r="D241">
        <v>2</v>
      </c>
      <c r="E241">
        <v>1</v>
      </c>
      <c r="F241">
        <v>46.1</v>
      </c>
      <c r="G241" t="s">
        <v>918</v>
      </c>
      <c r="H241" t="s">
        <v>919</v>
      </c>
      <c r="I241" t="s">
        <v>920</v>
      </c>
      <c r="J241">
        <v>2021</v>
      </c>
      <c r="K241" t="s">
        <v>921</v>
      </c>
      <c r="L241" t="s">
        <v>250</v>
      </c>
      <c r="M241" t="s">
        <v>108</v>
      </c>
      <c r="N241" t="s">
        <v>72</v>
      </c>
      <c r="O241" t="s">
        <v>727</v>
      </c>
      <c r="P241" t="s">
        <v>161</v>
      </c>
      <c r="Q241" t="s">
        <v>162</v>
      </c>
      <c r="R241" t="s">
        <v>76</v>
      </c>
      <c r="S241" t="s">
        <v>75</v>
      </c>
      <c r="T241" t="s">
        <v>75</v>
      </c>
      <c r="U241" t="s">
        <v>76</v>
      </c>
      <c r="V241" t="s">
        <v>75</v>
      </c>
      <c r="W241" t="s">
        <v>75</v>
      </c>
      <c r="X241" t="s">
        <v>135</v>
      </c>
      <c r="Y241" t="s">
        <v>135</v>
      </c>
      <c r="Z241" t="s">
        <v>77</v>
      </c>
      <c r="AA241" t="s">
        <v>78</v>
      </c>
      <c r="AB241" t="s">
        <v>161</v>
      </c>
      <c r="AC241" t="s">
        <v>135</v>
      </c>
      <c r="AD241" t="s">
        <v>78</v>
      </c>
      <c r="AE241" t="s">
        <v>79</v>
      </c>
      <c r="AF241" t="s">
        <v>75</v>
      </c>
      <c r="AH241" t="s">
        <v>76</v>
      </c>
      <c r="AI241" t="s">
        <v>75</v>
      </c>
      <c r="AK241" t="s">
        <v>115</v>
      </c>
      <c r="AL241" t="s">
        <v>115</v>
      </c>
      <c r="AM241" t="s">
        <v>116</v>
      </c>
      <c r="AN241">
        <v>150</v>
      </c>
      <c r="AO241">
        <v>50</v>
      </c>
      <c r="AP241">
        <v>50</v>
      </c>
      <c r="AQ241" t="s">
        <v>84</v>
      </c>
      <c r="AR241" t="s">
        <v>84</v>
      </c>
      <c r="AS241" t="s">
        <v>85</v>
      </c>
      <c r="AT241" t="s">
        <v>75</v>
      </c>
      <c r="AU241" t="s">
        <v>76</v>
      </c>
      <c r="AV241">
        <v>0.63680000000000003</v>
      </c>
      <c r="AW241">
        <v>0.83850000000000002</v>
      </c>
      <c r="AX241">
        <v>0.74470000000000003</v>
      </c>
      <c r="AY241">
        <v>0.63680000000000003</v>
      </c>
      <c r="AZ241">
        <v>0.83850000000000002</v>
      </c>
      <c r="BA241">
        <v>0.74470000000000003</v>
      </c>
      <c r="BB241" t="s">
        <v>86</v>
      </c>
      <c r="BC241">
        <v>0.83850000000000002</v>
      </c>
      <c r="BD241">
        <v>0.63680000000000003</v>
      </c>
      <c r="BE241">
        <v>0</v>
      </c>
      <c r="BF241">
        <v>9.8500000000000004E-2</v>
      </c>
      <c r="BG241">
        <v>3.6700000000000003E-2</v>
      </c>
      <c r="BH241">
        <v>9.9699999999999997E-2</v>
      </c>
      <c r="BI241">
        <v>3.6700000000000003E-2</v>
      </c>
      <c r="BJ241">
        <v>9.8500000000000004E-2</v>
      </c>
      <c r="BK241" t="s">
        <v>75</v>
      </c>
      <c r="BL241" t="s">
        <v>922</v>
      </c>
    </row>
    <row r="242" spans="1:65" x14ac:dyDescent="0.55000000000000004">
      <c r="A242" t="s">
        <v>917</v>
      </c>
      <c r="B242">
        <v>46</v>
      </c>
      <c r="C242">
        <v>2</v>
      </c>
      <c r="D242">
        <v>1</v>
      </c>
      <c r="E242">
        <v>1</v>
      </c>
      <c r="F242">
        <v>46.2</v>
      </c>
      <c r="G242" t="s">
        <v>923</v>
      </c>
      <c r="H242" t="s">
        <v>919</v>
      </c>
      <c r="I242" t="s">
        <v>920</v>
      </c>
      <c r="J242">
        <v>2021</v>
      </c>
      <c r="K242" t="s">
        <v>921</v>
      </c>
      <c r="L242" t="s">
        <v>250</v>
      </c>
      <c r="M242" t="s">
        <v>108</v>
      </c>
      <c r="N242" t="s">
        <v>72</v>
      </c>
      <c r="O242" t="s">
        <v>727</v>
      </c>
      <c r="P242" t="s">
        <v>161</v>
      </c>
      <c r="Q242" t="s">
        <v>162</v>
      </c>
      <c r="R242" t="s">
        <v>76</v>
      </c>
      <c r="S242" t="s">
        <v>75</v>
      </c>
      <c r="T242" t="s">
        <v>75</v>
      </c>
      <c r="U242" t="s">
        <v>76</v>
      </c>
      <c r="V242" t="s">
        <v>75</v>
      </c>
      <c r="W242" t="s">
        <v>75</v>
      </c>
      <c r="X242" t="s">
        <v>135</v>
      </c>
      <c r="Y242" t="s">
        <v>135</v>
      </c>
      <c r="Z242" t="s">
        <v>77</v>
      </c>
      <c r="AA242" t="s">
        <v>78</v>
      </c>
      <c r="AB242" t="s">
        <v>161</v>
      </c>
      <c r="AC242" t="s">
        <v>135</v>
      </c>
      <c r="AD242" t="s">
        <v>78</v>
      </c>
      <c r="AE242" t="s">
        <v>79</v>
      </c>
      <c r="AF242" t="s">
        <v>75</v>
      </c>
      <c r="AH242" t="s">
        <v>75</v>
      </c>
      <c r="AI242" t="s">
        <v>75</v>
      </c>
      <c r="AK242" t="s">
        <v>115</v>
      </c>
      <c r="AL242" t="s">
        <v>115</v>
      </c>
      <c r="AM242" t="s">
        <v>116</v>
      </c>
      <c r="AN242">
        <v>150</v>
      </c>
      <c r="AO242">
        <v>50</v>
      </c>
      <c r="AP242">
        <v>50</v>
      </c>
      <c r="AQ242" t="s">
        <v>84</v>
      </c>
      <c r="AR242" t="s">
        <v>84</v>
      </c>
      <c r="AS242" t="s">
        <v>85</v>
      </c>
      <c r="AT242" t="s">
        <v>75</v>
      </c>
      <c r="AU242" t="s">
        <v>76</v>
      </c>
      <c r="AV242">
        <v>0.61219999999999997</v>
      </c>
      <c r="AW242">
        <v>0.69179999999999997</v>
      </c>
      <c r="AX242">
        <v>0.6341</v>
      </c>
      <c r="AY242">
        <v>0.61219999999999997</v>
      </c>
      <c r="AZ242">
        <v>0.69179999999999997</v>
      </c>
      <c r="BA242">
        <v>0.6341</v>
      </c>
      <c r="BB242" t="s">
        <v>86</v>
      </c>
      <c r="BC242">
        <v>0.69179999999999997</v>
      </c>
      <c r="BD242">
        <v>0.61219999999999997</v>
      </c>
      <c r="BE242">
        <v>0</v>
      </c>
      <c r="BF242">
        <v>9.2399999999999996E-2</v>
      </c>
      <c r="BG242">
        <v>4.65E-2</v>
      </c>
      <c r="BH242">
        <v>8.8300000000000003E-2</v>
      </c>
      <c r="BI242">
        <v>4.65E-2</v>
      </c>
      <c r="BJ242">
        <v>9.2399999999999996E-2</v>
      </c>
      <c r="BK242" t="s">
        <v>75</v>
      </c>
      <c r="BL242" t="s">
        <v>924</v>
      </c>
    </row>
    <row r="243" spans="1:65" x14ac:dyDescent="0.55000000000000004">
      <c r="A243" t="s">
        <v>917</v>
      </c>
      <c r="B243">
        <v>46</v>
      </c>
      <c r="C243">
        <v>2</v>
      </c>
      <c r="D243">
        <v>2</v>
      </c>
      <c r="E243">
        <v>1</v>
      </c>
      <c r="F243">
        <v>46.2</v>
      </c>
      <c r="G243" t="s">
        <v>925</v>
      </c>
      <c r="H243" t="s">
        <v>919</v>
      </c>
      <c r="I243" t="s">
        <v>920</v>
      </c>
      <c r="J243">
        <v>2021</v>
      </c>
      <c r="K243" t="s">
        <v>921</v>
      </c>
      <c r="L243" t="s">
        <v>250</v>
      </c>
      <c r="M243" t="s">
        <v>108</v>
      </c>
      <c r="N243" t="s">
        <v>72</v>
      </c>
      <c r="O243" t="s">
        <v>727</v>
      </c>
      <c r="P243" t="s">
        <v>161</v>
      </c>
      <c r="Q243" t="s">
        <v>162</v>
      </c>
      <c r="R243" t="s">
        <v>76</v>
      </c>
      <c r="S243" t="s">
        <v>75</v>
      </c>
      <c r="T243" t="s">
        <v>75</v>
      </c>
      <c r="U243" t="s">
        <v>76</v>
      </c>
      <c r="V243" t="s">
        <v>75</v>
      </c>
      <c r="W243" t="s">
        <v>75</v>
      </c>
      <c r="X243" t="s">
        <v>135</v>
      </c>
      <c r="Y243" t="s">
        <v>135</v>
      </c>
      <c r="Z243" t="s">
        <v>77</v>
      </c>
      <c r="AA243" t="s">
        <v>78</v>
      </c>
      <c r="AB243" t="s">
        <v>161</v>
      </c>
      <c r="AC243" t="s">
        <v>135</v>
      </c>
      <c r="AD243" t="s">
        <v>78</v>
      </c>
      <c r="AE243" t="s">
        <v>79</v>
      </c>
      <c r="AF243" t="s">
        <v>75</v>
      </c>
      <c r="AH243" t="s">
        <v>76</v>
      </c>
      <c r="AI243" t="s">
        <v>75</v>
      </c>
      <c r="AK243" t="s">
        <v>115</v>
      </c>
      <c r="AL243" t="s">
        <v>115</v>
      </c>
      <c r="AM243" t="s">
        <v>116</v>
      </c>
      <c r="AN243">
        <v>150</v>
      </c>
      <c r="AO243">
        <v>50</v>
      </c>
      <c r="AP243">
        <v>50</v>
      </c>
      <c r="AQ243" t="s">
        <v>84</v>
      </c>
      <c r="AR243" t="s">
        <v>84</v>
      </c>
      <c r="AS243" t="s">
        <v>85</v>
      </c>
      <c r="AT243" t="s">
        <v>75</v>
      </c>
      <c r="AU243" t="s">
        <v>76</v>
      </c>
      <c r="AV243">
        <v>0.61219999999999997</v>
      </c>
      <c r="AW243">
        <v>0.69179999999999997</v>
      </c>
      <c r="AX243">
        <v>0.60770000000000002</v>
      </c>
      <c r="AY243">
        <v>0.61219999999999997</v>
      </c>
      <c r="AZ243">
        <v>0.69179999999999997</v>
      </c>
      <c r="BA243">
        <v>0.60770000000000002</v>
      </c>
      <c r="BB243" t="s">
        <v>86</v>
      </c>
      <c r="BC243">
        <v>0.69179999999999997</v>
      </c>
      <c r="BD243">
        <v>0.61219999999999997</v>
      </c>
      <c r="BE243">
        <v>0</v>
      </c>
      <c r="BF243">
        <v>9.2399999999999996E-2</v>
      </c>
      <c r="BG243">
        <v>4.65E-2</v>
      </c>
      <c r="BH243">
        <v>8.1699999999999995E-2</v>
      </c>
      <c r="BI243">
        <v>4.65E-2</v>
      </c>
      <c r="BJ243">
        <v>9.2399999999999996E-2</v>
      </c>
      <c r="BK243" t="s">
        <v>75</v>
      </c>
      <c r="BL243" t="s">
        <v>926</v>
      </c>
      <c r="BM243" t="s">
        <v>927</v>
      </c>
    </row>
    <row r="244" spans="1:65" x14ac:dyDescent="0.55000000000000004">
      <c r="A244" t="s">
        <v>928</v>
      </c>
      <c r="B244">
        <v>83</v>
      </c>
      <c r="C244">
        <v>3</v>
      </c>
      <c r="D244">
        <v>1</v>
      </c>
      <c r="E244">
        <v>1</v>
      </c>
      <c r="F244">
        <v>3.1</v>
      </c>
      <c r="G244" t="s">
        <v>929</v>
      </c>
      <c r="H244" t="s">
        <v>930</v>
      </c>
      <c r="I244" t="s">
        <v>931</v>
      </c>
      <c r="J244">
        <v>2024</v>
      </c>
      <c r="K244" t="s">
        <v>921</v>
      </c>
      <c r="L244" t="s">
        <v>932</v>
      </c>
      <c r="M244" t="s">
        <v>933</v>
      </c>
      <c r="N244" t="s">
        <v>100</v>
      </c>
      <c r="O244" t="s">
        <v>934</v>
      </c>
      <c r="P244" t="s">
        <v>74</v>
      </c>
      <c r="Q244" t="s">
        <v>74</v>
      </c>
      <c r="R244" t="s">
        <v>75</v>
      </c>
      <c r="S244" t="s">
        <v>75</v>
      </c>
      <c r="T244" t="s">
        <v>75</v>
      </c>
      <c r="U244" t="s">
        <v>76</v>
      </c>
      <c r="V244" t="s">
        <v>75</v>
      </c>
      <c r="W244" t="s">
        <v>75</v>
      </c>
      <c r="X244" t="s">
        <v>111</v>
      </c>
      <c r="Y244" t="s">
        <v>111</v>
      </c>
      <c r="Z244" t="s">
        <v>77</v>
      </c>
      <c r="AA244" t="s">
        <v>112</v>
      </c>
      <c r="AB244" t="s">
        <v>179</v>
      </c>
      <c r="AC244" t="s">
        <v>179</v>
      </c>
      <c r="AD244" t="s">
        <v>112</v>
      </c>
      <c r="AE244" t="s">
        <v>79</v>
      </c>
      <c r="AF244" t="s">
        <v>75</v>
      </c>
      <c r="AG244" t="s">
        <v>264</v>
      </c>
      <c r="AH244" t="s">
        <v>76</v>
      </c>
      <c r="AI244" t="s">
        <v>76</v>
      </c>
      <c r="AJ244" t="s">
        <v>514</v>
      </c>
      <c r="AK244" t="s">
        <v>689</v>
      </c>
      <c r="AL244" t="s">
        <v>689</v>
      </c>
      <c r="AM244" t="s">
        <v>116</v>
      </c>
      <c r="AN244">
        <v>3</v>
      </c>
      <c r="AO244">
        <v>208</v>
      </c>
      <c r="AP244">
        <v>208</v>
      </c>
      <c r="AQ244" t="s">
        <v>84</v>
      </c>
      <c r="AR244" t="s">
        <v>84</v>
      </c>
      <c r="AS244" t="s">
        <v>164</v>
      </c>
      <c r="AT244" t="s">
        <v>75</v>
      </c>
      <c r="AU244" t="s">
        <v>76</v>
      </c>
      <c r="AV244">
        <v>0.65400000000000003</v>
      </c>
      <c r="AW244">
        <v>0.51200000000000001</v>
      </c>
      <c r="AX244">
        <v>0.51200000000000001</v>
      </c>
      <c r="AY244">
        <v>0.34599999999999997</v>
      </c>
      <c r="AZ244">
        <v>0.48799999999999999</v>
      </c>
      <c r="BA244">
        <v>0.48799999999999999</v>
      </c>
      <c r="BB244" t="s">
        <v>86</v>
      </c>
      <c r="BC244">
        <v>0.48799999999999999</v>
      </c>
      <c r="BD244">
        <v>0.34599999999999997</v>
      </c>
      <c r="BE244">
        <v>0</v>
      </c>
      <c r="BF244">
        <v>0.21390000000000001</v>
      </c>
      <c r="BG244">
        <v>0.25740000000000002</v>
      </c>
      <c r="BH244">
        <v>0.25740000000000002</v>
      </c>
      <c r="BI244">
        <v>0.25740000000000002</v>
      </c>
      <c r="BJ244">
        <v>0.21390000000000001</v>
      </c>
      <c r="BK244" t="s">
        <v>76</v>
      </c>
      <c r="BL244" t="s">
        <v>935</v>
      </c>
      <c r="BM244" t="s">
        <v>936</v>
      </c>
    </row>
    <row r="245" spans="1:65" x14ac:dyDescent="0.55000000000000004">
      <c r="A245" t="s">
        <v>257</v>
      </c>
      <c r="B245">
        <v>84</v>
      </c>
      <c r="C245">
        <v>4</v>
      </c>
      <c r="D245">
        <v>1</v>
      </c>
      <c r="E245">
        <v>1</v>
      </c>
      <c r="F245">
        <v>4.0999999999999996</v>
      </c>
      <c r="G245" t="s">
        <v>258</v>
      </c>
      <c r="H245" t="s">
        <v>259</v>
      </c>
      <c r="I245" t="s">
        <v>260</v>
      </c>
      <c r="J245">
        <v>2024</v>
      </c>
      <c r="K245" t="s">
        <v>921</v>
      </c>
      <c r="L245" t="s">
        <v>261</v>
      </c>
      <c r="M245" t="s">
        <v>262</v>
      </c>
      <c r="N245" t="s">
        <v>100</v>
      </c>
      <c r="O245" t="s">
        <v>263</v>
      </c>
      <c r="P245" t="s">
        <v>110</v>
      </c>
      <c r="Q245" t="s">
        <v>134</v>
      </c>
      <c r="R245" t="s">
        <v>75</v>
      </c>
      <c r="S245" t="s">
        <v>75</v>
      </c>
      <c r="T245" t="s">
        <v>75</v>
      </c>
      <c r="U245" t="s">
        <v>76</v>
      </c>
      <c r="V245" t="s">
        <v>76</v>
      </c>
      <c r="W245" t="s">
        <v>75</v>
      </c>
      <c r="X245" t="s">
        <v>111</v>
      </c>
      <c r="Y245" t="s">
        <v>111</v>
      </c>
      <c r="Z245" t="s">
        <v>77</v>
      </c>
      <c r="AA245" t="s">
        <v>112</v>
      </c>
      <c r="AB245" t="s">
        <v>179</v>
      </c>
      <c r="AC245" t="s">
        <v>179</v>
      </c>
      <c r="AD245" t="s">
        <v>112</v>
      </c>
      <c r="AE245" t="s">
        <v>79</v>
      </c>
      <c r="AF245" t="s">
        <v>75</v>
      </c>
      <c r="AG245" t="s">
        <v>264</v>
      </c>
      <c r="AH245" t="s">
        <v>76</v>
      </c>
      <c r="AI245" t="s">
        <v>76</v>
      </c>
      <c r="AJ245" t="s">
        <v>265</v>
      </c>
      <c r="AK245" t="s">
        <v>115</v>
      </c>
      <c r="AL245" t="s">
        <v>115</v>
      </c>
      <c r="AM245" t="s">
        <v>116</v>
      </c>
      <c r="AN245">
        <v>4</v>
      </c>
      <c r="AO245">
        <v>320</v>
      </c>
      <c r="AP245">
        <v>320</v>
      </c>
      <c r="AQ245" t="s">
        <v>84</v>
      </c>
      <c r="AR245" t="s">
        <v>84</v>
      </c>
      <c r="AS245" t="s">
        <v>164</v>
      </c>
      <c r="AT245" t="s">
        <v>75</v>
      </c>
      <c r="AU245" t="s">
        <v>76</v>
      </c>
      <c r="AV245">
        <v>0.54200000000000004</v>
      </c>
      <c r="AW245">
        <v>0.8</v>
      </c>
      <c r="AX245">
        <v>0.66800000000000004</v>
      </c>
      <c r="AY245">
        <v>0.54200000000000004</v>
      </c>
      <c r="AZ245">
        <v>0.8</v>
      </c>
      <c r="BA245">
        <v>0.66800000000000004</v>
      </c>
      <c r="BB245" t="s">
        <v>86</v>
      </c>
      <c r="BC245">
        <v>0.8</v>
      </c>
      <c r="BD245">
        <v>0.54200000000000004</v>
      </c>
      <c r="BE245">
        <v>0</v>
      </c>
      <c r="BF245">
        <v>0.19</v>
      </c>
      <c r="BG245">
        <v>0</v>
      </c>
      <c r="BH245">
        <v>0.13</v>
      </c>
      <c r="BI245">
        <v>0</v>
      </c>
      <c r="BJ245">
        <v>0.19</v>
      </c>
      <c r="BK245" t="s">
        <v>76</v>
      </c>
      <c r="BL245" t="s">
        <v>266</v>
      </c>
      <c r="BM245" t="s">
        <v>267</v>
      </c>
    </row>
    <row r="246" spans="1:65" x14ac:dyDescent="0.55000000000000004">
      <c r="A246" t="s">
        <v>138</v>
      </c>
      <c r="B246">
        <v>9</v>
      </c>
      <c r="C246">
        <v>1</v>
      </c>
      <c r="D246">
        <v>1</v>
      </c>
      <c r="E246">
        <v>1</v>
      </c>
      <c r="F246">
        <v>9.1</v>
      </c>
      <c r="G246" t="s">
        <v>937</v>
      </c>
      <c r="H246" t="s">
        <v>140</v>
      </c>
      <c r="I246" t="s">
        <v>141</v>
      </c>
      <c r="J246">
        <v>2021</v>
      </c>
      <c r="K246" t="s">
        <v>921</v>
      </c>
      <c r="L246" t="s">
        <v>142</v>
      </c>
      <c r="M246" t="s">
        <v>108</v>
      </c>
      <c r="N246" t="s">
        <v>72</v>
      </c>
      <c r="O246" t="s">
        <v>938</v>
      </c>
      <c r="P246" t="s">
        <v>161</v>
      </c>
      <c r="Q246" t="s">
        <v>162</v>
      </c>
      <c r="R246" t="s">
        <v>76</v>
      </c>
      <c r="S246" t="s">
        <v>75</v>
      </c>
      <c r="T246" t="s">
        <v>75</v>
      </c>
      <c r="U246" t="s">
        <v>76</v>
      </c>
      <c r="V246" t="s">
        <v>75</v>
      </c>
      <c r="W246" t="s">
        <v>75</v>
      </c>
      <c r="X246" t="s">
        <v>135</v>
      </c>
      <c r="Y246" t="s">
        <v>135</v>
      </c>
      <c r="Z246" t="s">
        <v>77</v>
      </c>
      <c r="AA246" t="s">
        <v>78</v>
      </c>
      <c r="AB246" t="s">
        <v>161</v>
      </c>
      <c r="AC246" t="s">
        <v>135</v>
      </c>
      <c r="AD246" t="s">
        <v>78</v>
      </c>
      <c r="AE246" t="s">
        <v>79</v>
      </c>
      <c r="AF246" t="s">
        <v>75</v>
      </c>
      <c r="AG246" t="s">
        <v>939</v>
      </c>
      <c r="AH246" t="s">
        <v>76</v>
      </c>
      <c r="AI246" t="s">
        <v>75</v>
      </c>
      <c r="AJ246" t="s">
        <v>120</v>
      </c>
      <c r="AK246" t="s">
        <v>115</v>
      </c>
      <c r="AL246" t="s">
        <v>115</v>
      </c>
      <c r="AM246" t="s">
        <v>116</v>
      </c>
      <c r="AN246">
        <v>1296</v>
      </c>
      <c r="AO246">
        <v>216</v>
      </c>
      <c r="AP246">
        <v>216</v>
      </c>
      <c r="AQ246" t="s">
        <v>84</v>
      </c>
      <c r="AR246" t="s">
        <v>84</v>
      </c>
      <c r="AS246" t="s">
        <v>85</v>
      </c>
      <c r="AT246" t="s">
        <v>75</v>
      </c>
      <c r="AU246" t="s">
        <v>76</v>
      </c>
      <c r="AV246">
        <v>0.60899999999999999</v>
      </c>
      <c r="AW246">
        <v>0.68400000000000005</v>
      </c>
      <c r="AX246">
        <v>0.61499999999999999</v>
      </c>
      <c r="AY246">
        <v>0.60899999999999999</v>
      </c>
      <c r="AZ246">
        <v>0.68400000000000005</v>
      </c>
      <c r="BA246">
        <v>0.61499999999999999</v>
      </c>
      <c r="BB246" t="s">
        <v>86</v>
      </c>
      <c r="BC246">
        <v>0.68400000000000005</v>
      </c>
      <c r="BD246">
        <v>0.60899999999999999</v>
      </c>
      <c r="BE246">
        <v>0</v>
      </c>
      <c r="BF246">
        <v>0.14099999999999999</v>
      </c>
      <c r="BG246">
        <v>0</v>
      </c>
      <c r="BH246">
        <v>0.113</v>
      </c>
      <c r="BI246">
        <v>0</v>
      </c>
      <c r="BJ246">
        <v>0.14099999999999999</v>
      </c>
      <c r="BK246" t="s">
        <v>75</v>
      </c>
      <c r="BL246" t="s">
        <v>939</v>
      </c>
    </row>
    <row r="247" spans="1:65" x14ac:dyDescent="0.55000000000000004">
      <c r="A247" t="s">
        <v>138</v>
      </c>
      <c r="B247">
        <v>9</v>
      </c>
      <c r="C247">
        <v>1</v>
      </c>
      <c r="D247">
        <v>2</v>
      </c>
      <c r="E247">
        <v>1</v>
      </c>
      <c r="F247">
        <v>9.1</v>
      </c>
      <c r="G247" t="s">
        <v>940</v>
      </c>
      <c r="H247" t="s">
        <v>140</v>
      </c>
      <c r="I247" t="s">
        <v>141</v>
      </c>
      <c r="J247">
        <v>2021</v>
      </c>
      <c r="K247" t="s">
        <v>921</v>
      </c>
      <c r="L247" t="s">
        <v>142</v>
      </c>
      <c r="M247" t="s">
        <v>108</v>
      </c>
      <c r="N247" t="s">
        <v>72</v>
      </c>
      <c r="O247" t="s">
        <v>938</v>
      </c>
      <c r="P247" t="s">
        <v>161</v>
      </c>
      <c r="Q247" t="s">
        <v>162</v>
      </c>
      <c r="R247" t="s">
        <v>76</v>
      </c>
      <c r="S247" t="s">
        <v>75</v>
      </c>
      <c r="T247" t="s">
        <v>75</v>
      </c>
      <c r="U247" t="s">
        <v>76</v>
      </c>
      <c r="V247" t="s">
        <v>75</v>
      </c>
      <c r="W247" t="s">
        <v>75</v>
      </c>
      <c r="X247" t="s">
        <v>135</v>
      </c>
      <c r="Y247" t="s">
        <v>135</v>
      </c>
      <c r="Z247" t="s">
        <v>77</v>
      </c>
      <c r="AA247" t="s">
        <v>78</v>
      </c>
      <c r="AB247" t="s">
        <v>161</v>
      </c>
      <c r="AC247" t="s">
        <v>135</v>
      </c>
      <c r="AD247" t="s">
        <v>78</v>
      </c>
      <c r="AE247" t="s">
        <v>79</v>
      </c>
      <c r="AF247" t="s">
        <v>75</v>
      </c>
      <c r="AG247" t="s">
        <v>941</v>
      </c>
      <c r="AH247" t="s">
        <v>76</v>
      </c>
      <c r="AI247" t="s">
        <v>75</v>
      </c>
      <c r="AJ247" t="s">
        <v>120</v>
      </c>
      <c r="AK247" t="s">
        <v>115</v>
      </c>
      <c r="AL247" t="s">
        <v>115</v>
      </c>
      <c r="AM247" t="s">
        <v>116</v>
      </c>
      <c r="AN247">
        <v>1296</v>
      </c>
      <c r="AO247">
        <v>216</v>
      </c>
      <c r="AP247">
        <v>216</v>
      </c>
      <c r="AQ247" t="s">
        <v>84</v>
      </c>
      <c r="AR247" t="s">
        <v>84</v>
      </c>
      <c r="AS247" t="s">
        <v>85</v>
      </c>
      <c r="AT247" t="s">
        <v>75</v>
      </c>
      <c r="AU247" t="s">
        <v>76</v>
      </c>
      <c r="AV247">
        <v>0.60899999999999999</v>
      </c>
      <c r="AW247">
        <v>0.68400000000000005</v>
      </c>
      <c r="AX247">
        <v>0.60699999999999998</v>
      </c>
      <c r="AY247">
        <v>0.60899999999999999</v>
      </c>
      <c r="AZ247">
        <v>0.68400000000000005</v>
      </c>
      <c r="BA247">
        <v>0.60699999999999998</v>
      </c>
      <c r="BB247" t="s">
        <v>86</v>
      </c>
      <c r="BC247">
        <v>0.68400000000000005</v>
      </c>
      <c r="BD247">
        <v>0.60899999999999999</v>
      </c>
      <c r="BE247">
        <v>0</v>
      </c>
      <c r="BF247">
        <v>0.14099999999999999</v>
      </c>
      <c r="BG247">
        <v>0</v>
      </c>
      <c r="BH247">
        <v>0.14699999999999999</v>
      </c>
      <c r="BI247">
        <v>0</v>
      </c>
      <c r="BJ247">
        <v>0.14099999999999999</v>
      </c>
      <c r="BK247" t="s">
        <v>75</v>
      </c>
      <c r="BL247" t="s">
        <v>941</v>
      </c>
    </row>
    <row r="248" spans="1:65" x14ac:dyDescent="0.55000000000000004">
      <c r="A248" t="s">
        <v>138</v>
      </c>
      <c r="B248">
        <v>9</v>
      </c>
      <c r="C248">
        <v>1</v>
      </c>
      <c r="D248">
        <v>3</v>
      </c>
      <c r="E248">
        <v>1</v>
      </c>
      <c r="F248">
        <v>9.1</v>
      </c>
      <c r="G248" t="s">
        <v>942</v>
      </c>
      <c r="H248" t="s">
        <v>140</v>
      </c>
      <c r="I248" t="s">
        <v>141</v>
      </c>
      <c r="J248">
        <v>2021</v>
      </c>
      <c r="K248" t="s">
        <v>921</v>
      </c>
      <c r="L248" t="s">
        <v>142</v>
      </c>
      <c r="M248" t="s">
        <v>108</v>
      </c>
      <c r="N248" t="s">
        <v>72</v>
      </c>
      <c r="O248" t="s">
        <v>938</v>
      </c>
      <c r="P248" t="s">
        <v>161</v>
      </c>
      <c r="Q248" t="s">
        <v>162</v>
      </c>
      <c r="R248" t="s">
        <v>76</v>
      </c>
      <c r="S248" t="s">
        <v>75</v>
      </c>
      <c r="T248" t="s">
        <v>75</v>
      </c>
      <c r="U248" t="s">
        <v>76</v>
      </c>
      <c r="V248" t="s">
        <v>75</v>
      </c>
      <c r="W248" t="s">
        <v>75</v>
      </c>
      <c r="X248" t="s">
        <v>135</v>
      </c>
      <c r="Y248" t="s">
        <v>135</v>
      </c>
      <c r="Z248" t="s">
        <v>77</v>
      </c>
      <c r="AA248" t="s">
        <v>78</v>
      </c>
      <c r="AB248" t="s">
        <v>161</v>
      </c>
      <c r="AC248" t="s">
        <v>135</v>
      </c>
      <c r="AD248" t="s">
        <v>78</v>
      </c>
      <c r="AE248" t="s">
        <v>79</v>
      </c>
      <c r="AF248" t="s">
        <v>75</v>
      </c>
      <c r="AG248" t="s">
        <v>943</v>
      </c>
      <c r="AH248" t="s">
        <v>76</v>
      </c>
      <c r="AI248" t="s">
        <v>75</v>
      </c>
      <c r="AJ248" t="s">
        <v>120</v>
      </c>
      <c r="AK248" t="s">
        <v>115</v>
      </c>
      <c r="AL248" t="s">
        <v>115</v>
      </c>
      <c r="AM248" t="s">
        <v>116</v>
      </c>
      <c r="AN248">
        <v>1296</v>
      </c>
      <c r="AO248">
        <v>216</v>
      </c>
      <c r="AP248">
        <v>216</v>
      </c>
      <c r="AQ248" t="s">
        <v>84</v>
      </c>
      <c r="AR248" t="s">
        <v>84</v>
      </c>
      <c r="AS248" t="s">
        <v>85</v>
      </c>
      <c r="AT248" t="s">
        <v>75</v>
      </c>
      <c r="AU248" t="s">
        <v>76</v>
      </c>
      <c r="AV248">
        <v>0.55900000000000005</v>
      </c>
      <c r="AW248">
        <v>0.55000000000000004</v>
      </c>
      <c r="AX248">
        <v>0.56200000000000006</v>
      </c>
      <c r="AY248">
        <v>0.55900000000000005</v>
      </c>
      <c r="AZ248">
        <v>0.55000000000000004</v>
      </c>
      <c r="BA248">
        <v>0.56200000000000006</v>
      </c>
      <c r="BB248" t="s">
        <v>79</v>
      </c>
      <c r="BC248">
        <v>0.55900000000000005</v>
      </c>
      <c r="BD248">
        <v>0.55000000000000004</v>
      </c>
      <c r="BE248">
        <v>1</v>
      </c>
      <c r="BF248">
        <v>0.16600000000000001</v>
      </c>
      <c r="BG248">
        <v>0</v>
      </c>
      <c r="BH248">
        <v>0.109</v>
      </c>
      <c r="BI248">
        <v>0.16600000000000001</v>
      </c>
      <c r="BJ248">
        <v>0</v>
      </c>
      <c r="BK248" t="s">
        <v>75</v>
      </c>
      <c r="BL248" t="s">
        <v>943</v>
      </c>
    </row>
    <row r="249" spans="1:65" x14ac:dyDescent="0.55000000000000004">
      <c r="A249" t="s">
        <v>138</v>
      </c>
      <c r="B249">
        <v>9</v>
      </c>
      <c r="C249">
        <v>1</v>
      </c>
      <c r="D249">
        <v>4</v>
      </c>
      <c r="E249">
        <v>1</v>
      </c>
      <c r="F249">
        <v>9.1</v>
      </c>
      <c r="G249" t="s">
        <v>944</v>
      </c>
      <c r="H249" t="s">
        <v>140</v>
      </c>
      <c r="I249" t="s">
        <v>141</v>
      </c>
      <c r="J249">
        <v>2021</v>
      </c>
      <c r="K249" t="s">
        <v>921</v>
      </c>
      <c r="L249" t="s">
        <v>142</v>
      </c>
      <c r="M249" t="s">
        <v>108</v>
      </c>
      <c r="N249" t="s">
        <v>72</v>
      </c>
      <c r="O249" t="s">
        <v>938</v>
      </c>
      <c r="P249" t="s">
        <v>161</v>
      </c>
      <c r="Q249" t="s">
        <v>162</v>
      </c>
      <c r="R249" t="s">
        <v>76</v>
      </c>
      <c r="S249" t="s">
        <v>75</v>
      </c>
      <c r="T249" t="s">
        <v>75</v>
      </c>
      <c r="U249" t="s">
        <v>76</v>
      </c>
      <c r="V249" t="s">
        <v>75</v>
      </c>
      <c r="W249" t="s">
        <v>75</v>
      </c>
      <c r="X249" t="s">
        <v>135</v>
      </c>
      <c r="Y249" t="s">
        <v>135</v>
      </c>
      <c r="Z249" t="s">
        <v>77</v>
      </c>
      <c r="AA249" t="s">
        <v>78</v>
      </c>
      <c r="AB249" t="s">
        <v>161</v>
      </c>
      <c r="AC249" t="s">
        <v>135</v>
      </c>
      <c r="AD249" t="s">
        <v>78</v>
      </c>
      <c r="AE249" t="s">
        <v>79</v>
      </c>
      <c r="AF249" t="s">
        <v>75</v>
      </c>
      <c r="AG249" t="s">
        <v>945</v>
      </c>
      <c r="AH249" t="s">
        <v>76</v>
      </c>
      <c r="AI249" t="s">
        <v>75</v>
      </c>
      <c r="AJ249" t="s">
        <v>120</v>
      </c>
      <c r="AK249" t="s">
        <v>115</v>
      </c>
      <c r="AL249" t="s">
        <v>115</v>
      </c>
      <c r="AM249" t="s">
        <v>116</v>
      </c>
      <c r="AN249">
        <v>1296</v>
      </c>
      <c r="AO249">
        <v>216</v>
      </c>
      <c r="AP249">
        <v>216</v>
      </c>
      <c r="AQ249" t="s">
        <v>84</v>
      </c>
      <c r="AR249" t="s">
        <v>84</v>
      </c>
      <c r="AS249" t="s">
        <v>85</v>
      </c>
      <c r="AT249" t="s">
        <v>75</v>
      </c>
      <c r="AU249" t="s">
        <v>76</v>
      </c>
      <c r="AV249">
        <v>0.55900000000000005</v>
      </c>
      <c r="AW249">
        <v>0.55000000000000004</v>
      </c>
      <c r="AX249">
        <v>0.55600000000000005</v>
      </c>
      <c r="AY249">
        <v>0.55900000000000005</v>
      </c>
      <c r="AZ249">
        <v>0.55000000000000004</v>
      </c>
      <c r="BA249">
        <v>0.55600000000000005</v>
      </c>
      <c r="BB249" t="s">
        <v>79</v>
      </c>
      <c r="BC249">
        <v>0.55900000000000005</v>
      </c>
      <c r="BD249">
        <v>0.55000000000000004</v>
      </c>
      <c r="BE249">
        <v>0</v>
      </c>
      <c r="BF249">
        <v>0.16600000000000001</v>
      </c>
      <c r="BG249">
        <v>0</v>
      </c>
      <c r="BH249">
        <v>0.1</v>
      </c>
      <c r="BI249">
        <v>0.16600000000000001</v>
      </c>
      <c r="BJ249">
        <v>0</v>
      </c>
      <c r="BK249" t="s">
        <v>75</v>
      </c>
      <c r="BL249" t="s">
        <v>945</v>
      </c>
    </row>
    <row r="250" spans="1:65" x14ac:dyDescent="0.55000000000000004">
      <c r="A250" t="s">
        <v>138</v>
      </c>
      <c r="B250">
        <v>9</v>
      </c>
      <c r="C250">
        <v>3</v>
      </c>
      <c r="D250">
        <v>1</v>
      </c>
      <c r="E250">
        <v>1</v>
      </c>
      <c r="F250">
        <v>9.3000000000000007</v>
      </c>
      <c r="G250" t="s">
        <v>946</v>
      </c>
      <c r="H250" t="s">
        <v>140</v>
      </c>
      <c r="I250" t="s">
        <v>141</v>
      </c>
      <c r="J250">
        <v>2021</v>
      </c>
      <c r="K250" t="s">
        <v>921</v>
      </c>
      <c r="L250" t="s">
        <v>142</v>
      </c>
      <c r="M250" t="s">
        <v>108</v>
      </c>
      <c r="N250" t="s">
        <v>72</v>
      </c>
      <c r="O250" t="s">
        <v>727</v>
      </c>
      <c r="P250" t="s">
        <v>161</v>
      </c>
      <c r="Q250" t="s">
        <v>162</v>
      </c>
      <c r="R250" t="s">
        <v>76</v>
      </c>
      <c r="S250" t="s">
        <v>75</v>
      </c>
      <c r="T250" t="s">
        <v>75</v>
      </c>
      <c r="U250" t="s">
        <v>76</v>
      </c>
      <c r="V250" t="s">
        <v>75</v>
      </c>
      <c r="W250" t="s">
        <v>75</v>
      </c>
      <c r="X250" t="s">
        <v>135</v>
      </c>
      <c r="Y250" t="s">
        <v>135</v>
      </c>
      <c r="Z250" t="s">
        <v>77</v>
      </c>
      <c r="AA250" t="s">
        <v>78</v>
      </c>
      <c r="AB250" t="s">
        <v>161</v>
      </c>
      <c r="AC250" t="s">
        <v>135</v>
      </c>
      <c r="AD250" t="s">
        <v>78</v>
      </c>
      <c r="AE250" t="s">
        <v>79</v>
      </c>
      <c r="AF250" t="s">
        <v>75</v>
      </c>
      <c r="AG250" t="s">
        <v>144</v>
      </c>
      <c r="AH250" t="s">
        <v>76</v>
      </c>
      <c r="AI250" t="s">
        <v>75</v>
      </c>
      <c r="AJ250" t="s">
        <v>120</v>
      </c>
      <c r="AK250" t="s">
        <v>115</v>
      </c>
      <c r="AL250" t="s">
        <v>115</v>
      </c>
      <c r="AM250" t="s">
        <v>116</v>
      </c>
      <c r="AN250">
        <v>1296</v>
      </c>
      <c r="AO250">
        <v>216</v>
      </c>
      <c r="AP250">
        <v>216</v>
      </c>
      <c r="AQ250" t="s">
        <v>84</v>
      </c>
      <c r="AR250" t="s">
        <v>84</v>
      </c>
      <c r="AS250" t="s">
        <v>85</v>
      </c>
      <c r="AT250" t="s">
        <v>75</v>
      </c>
      <c r="AU250" t="s">
        <v>76</v>
      </c>
      <c r="AV250">
        <v>0.6</v>
      </c>
      <c r="AW250">
        <v>0.65500000000000003</v>
      </c>
      <c r="AX250">
        <v>0.58599999999999997</v>
      </c>
      <c r="AY250">
        <v>0.6</v>
      </c>
      <c r="AZ250">
        <v>0.65500000000000003</v>
      </c>
      <c r="BA250">
        <v>0.58599999999999997</v>
      </c>
      <c r="BB250" t="s">
        <v>86</v>
      </c>
      <c r="BC250">
        <v>0.65500000000000003</v>
      </c>
      <c r="BD250">
        <v>0.6</v>
      </c>
      <c r="BE250">
        <v>0</v>
      </c>
      <c r="BF250">
        <v>0.156</v>
      </c>
      <c r="BG250">
        <v>0</v>
      </c>
      <c r="BH250">
        <v>0.14299999999999999</v>
      </c>
      <c r="BI250">
        <v>0</v>
      </c>
      <c r="BJ250">
        <v>0.156</v>
      </c>
      <c r="BK250" t="s">
        <v>75</v>
      </c>
      <c r="BL250" t="s">
        <v>144</v>
      </c>
    </row>
    <row r="251" spans="1:65" x14ac:dyDescent="0.55000000000000004">
      <c r="A251" t="s">
        <v>138</v>
      </c>
      <c r="B251">
        <v>9</v>
      </c>
      <c r="C251">
        <v>3</v>
      </c>
      <c r="D251">
        <v>2</v>
      </c>
      <c r="E251">
        <v>1</v>
      </c>
      <c r="F251">
        <v>9.3000000000000007</v>
      </c>
      <c r="G251" t="s">
        <v>947</v>
      </c>
      <c r="H251" t="s">
        <v>140</v>
      </c>
      <c r="I251" t="s">
        <v>141</v>
      </c>
      <c r="J251">
        <v>2021</v>
      </c>
      <c r="K251" t="s">
        <v>921</v>
      </c>
      <c r="L251" t="s">
        <v>142</v>
      </c>
      <c r="M251" t="s">
        <v>108</v>
      </c>
      <c r="N251" t="s">
        <v>72</v>
      </c>
      <c r="O251" t="s">
        <v>727</v>
      </c>
      <c r="P251" t="s">
        <v>161</v>
      </c>
      <c r="Q251" t="s">
        <v>162</v>
      </c>
      <c r="R251" t="s">
        <v>76</v>
      </c>
      <c r="S251" t="s">
        <v>75</v>
      </c>
      <c r="T251" t="s">
        <v>75</v>
      </c>
      <c r="U251" t="s">
        <v>76</v>
      </c>
      <c r="V251" t="s">
        <v>75</v>
      </c>
      <c r="W251" t="s">
        <v>75</v>
      </c>
      <c r="X251" t="s">
        <v>135</v>
      </c>
      <c r="Y251" t="s">
        <v>135</v>
      </c>
      <c r="Z251" t="s">
        <v>77</v>
      </c>
      <c r="AA251" t="s">
        <v>78</v>
      </c>
      <c r="AB251" t="s">
        <v>161</v>
      </c>
      <c r="AC251" t="s">
        <v>135</v>
      </c>
      <c r="AD251" t="s">
        <v>78</v>
      </c>
      <c r="AE251" t="s">
        <v>79</v>
      </c>
      <c r="AF251" t="s">
        <v>75</v>
      </c>
      <c r="AG251" t="s">
        <v>147</v>
      </c>
      <c r="AH251" t="s">
        <v>76</v>
      </c>
      <c r="AI251" t="s">
        <v>75</v>
      </c>
      <c r="AJ251" t="s">
        <v>120</v>
      </c>
      <c r="AK251" t="s">
        <v>115</v>
      </c>
      <c r="AL251" t="s">
        <v>115</v>
      </c>
      <c r="AM251" t="s">
        <v>116</v>
      </c>
      <c r="AN251">
        <v>1296</v>
      </c>
      <c r="AO251">
        <v>216</v>
      </c>
      <c r="AP251">
        <v>216</v>
      </c>
      <c r="AQ251" t="s">
        <v>84</v>
      </c>
      <c r="AR251" t="s">
        <v>84</v>
      </c>
      <c r="AS251" t="s">
        <v>85</v>
      </c>
      <c r="AT251" t="s">
        <v>75</v>
      </c>
      <c r="AU251" t="s">
        <v>76</v>
      </c>
      <c r="AV251">
        <v>0.6</v>
      </c>
      <c r="AW251">
        <v>0.65500000000000003</v>
      </c>
      <c r="AX251">
        <v>0.59399999999999997</v>
      </c>
      <c r="AY251">
        <v>0.6</v>
      </c>
      <c r="AZ251">
        <v>0.65500000000000003</v>
      </c>
      <c r="BA251">
        <v>0.59399999999999997</v>
      </c>
      <c r="BB251" t="s">
        <v>86</v>
      </c>
      <c r="BC251">
        <v>0.65500000000000003</v>
      </c>
      <c r="BD251">
        <v>0.6</v>
      </c>
      <c r="BE251">
        <v>0</v>
      </c>
      <c r="BF251">
        <v>0.156</v>
      </c>
      <c r="BG251">
        <v>0</v>
      </c>
      <c r="BH251">
        <v>0.14199999999999999</v>
      </c>
      <c r="BI251">
        <v>0</v>
      </c>
      <c r="BJ251">
        <v>0.156</v>
      </c>
      <c r="BK251" t="s">
        <v>75</v>
      </c>
      <c r="BL251" t="s">
        <v>147</v>
      </c>
    </row>
    <row r="252" spans="1:65" x14ac:dyDescent="0.55000000000000004">
      <c r="A252" t="s">
        <v>138</v>
      </c>
      <c r="B252">
        <v>9</v>
      </c>
      <c r="C252">
        <v>3</v>
      </c>
      <c r="D252">
        <v>3</v>
      </c>
      <c r="E252">
        <v>1</v>
      </c>
      <c r="F252">
        <v>9.3000000000000007</v>
      </c>
      <c r="G252" t="s">
        <v>948</v>
      </c>
      <c r="H252" t="s">
        <v>140</v>
      </c>
      <c r="I252" t="s">
        <v>141</v>
      </c>
      <c r="J252">
        <v>2021</v>
      </c>
      <c r="K252" t="s">
        <v>921</v>
      </c>
      <c r="L252" t="s">
        <v>142</v>
      </c>
      <c r="M252" t="s">
        <v>108</v>
      </c>
      <c r="N252" t="s">
        <v>72</v>
      </c>
      <c r="O252" t="s">
        <v>727</v>
      </c>
      <c r="P252" t="s">
        <v>161</v>
      </c>
      <c r="Q252" t="s">
        <v>162</v>
      </c>
      <c r="R252" t="s">
        <v>76</v>
      </c>
      <c r="S252" t="s">
        <v>75</v>
      </c>
      <c r="T252" t="s">
        <v>75</v>
      </c>
      <c r="U252" t="s">
        <v>76</v>
      </c>
      <c r="V252" t="s">
        <v>75</v>
      </c>
      <c r="W252" t="s">
        <v>75</v>
      </c>
      <c r="X252" t="s">
        <v>135</v>
      </c>
      <c r="Y252" t="s">
        <v>135</v>
      </c>
      <c r="Z252" t="s">
        <v>77</v>
      </c>
      <c r="AA252" t="s">
        <v>78</v>
      </c>
      <c r="AB252" t="s">
        <v>161</v>
      </c>
      <c r="AC252" t="s">
        <v>135</v>
      </c>
      <c r="AD252" t="s">
        <v>78</v>
      </c>
      <c r="AE252" t="s">
        <v>79</v>
      </c>
      <c r="AF252" t="s">
        <v>75</v>
      </c>
      <c r="AG252" t="s">
        <v>150</v>
      </c>
      <c r="AH252" t="s">
        <v>76</v>
      </c>
      <c r="AI252" t="s">
        <v>75</v>
      </c>
      <c r="AJ252" t="s">
        <v>120</v>
      </c>
      <c r="AK252" t="s">
        <v>115</v>
      </c>
      <c r="AL252" t="s">
        <v>115</v>
      </c>
      <c r="AM252" t="s">
        <v>116</v>
      </c>
      <c r="AN252">
        <v>1296</v>
      </c>
      <c r="AO252">
        <v>216</v>
      </c>
      <c r="AP252">
        <v>216</v>
      </c>
      <c r="AQ252" t="s">
        <v>84</v>
      </c>
      <c r="AR252" t="s">
        <v>84</v>
      </c>
      <c r="AS252" t="s">
        <v>85</v>
      </c>
      <c r="AT252" t="s">
        <v>75</v>
      </c>
      <c r="AU252" t="s">
        <v>76</v>
      </c>
      <c r="AV252">
        <v>0.54500000000000004</v>
      </c>
      <c r="AW252">
        <v>0.56100000000000005</v>
      </c>
      <c r="AX252">
        <v>0.56100000000000005</v>
      </c>
      <c r="AY252">
        <v>0.54500000000000004</v>
      </c>
      <c r="AZ252">
        <v>0.56100000000000005</v>
      </c>
      <c r="BA252">
        <v>0.56100000000000005</v>
      </c>
      <c r="BB252" t="s">
        <v>86</v>
      </c>
      <c r="BC252">
        <v>0.56100000000000005</v>
      </c>
      <c r="BD252">
        <v>0.54500000000000004</v>
      </c>
      <c r="BE252">
        <v>0</v>
      </c>
      <c r="BF252">
        <v>0.17299999999999999</v>
      </c>
      <c r="BG252">
        <v>0</v>
      </c>
      <c r="BH252">
        <v>0.11899999999999999</v>
      </c>
      <c r="BI252">
        <v>0</v>
      </c>
      <c r="BJ252">
        <v>0.17299999999999999</v>
      </c>
      <c r="BK252" t="s">
        <v>75</v>
      </c>
      <c r="BL252" t="s">
        <v>150</v>
      </c>
    </row>
    <row r="253" spans="1:65" x14ac:dyDescent="0.55000000000000004">
      <c r="A253" t="s">
        <v>138</v>
      </c>
      <c r="B253">
        <v>9</v>
      </c>
      <c r="C253">
        <v>3</v>
      </c>
      <c r="D253">
        <v>4</v>
      </c>
      <c r="E253">
        <v>1</v>
      </c>
      <c r="F253">
        <v>9.3000000000000007</v>
      </c>
      <c r="G253" t="s">
        <v>949</v>
      </c>
      <c r="H253" t="s">
        <v>140</v>
      </c>
      <c r="I253" t="s">
        <v>141</v>
      </c>
      <c r="J253">
        <v>2021</v>
      </c>
      <c r="K253" t="s">
        <v>921</v>
      </c>
      <c r="L253" t="s">
        <v>142</v>
      </c>
      <c r="M253" t="s">
        <v>108</v>
      </c>
      <c r="N253" t="s">
        <v>72</v>
      </c>
      <c r="O253" t="s">
        <v>727</v>
      </c>
      <c r="P253" t="s">
        <v>161</v>
      </c>
      <c r="Q253" t="s">
        <v>162</v>
      </c>
      <c r="R253" t="s">
        <v>76</v>
      </c>
      <c r="S253" t="s">
        <v>75</v>
      </c>
      <c r="T253" t="s">
        <v>75</v>
      </c>
      <c r="U253" t="s">
        <v>76</v>
      </c>
      <c r="V253" t="s">
        <v>75</v>
      </c>
      <c r="W253" t="s">
        <v>75</v>
      </c>
      <c r="X253" t="s">
        <v>135</v>
      </c>
      <c r="Y253" t="s">
        <v>135</v>
      </c>
      <c r="Z253" t="s">
        <v>77</v>
      </c>
      <c r="AA253" t="s">
        <v>78</v>
      </c>
      <c r="AB253" t="s">
        <v>161</v>
      </c>
      <c r="AC253" t="s">
        <v>135</v>
      </c>
      <c r="AD253" t="s">
        <v>78</v>
      </c>
      <c r="AE253" t="s">
        <v>79</v>
      </c>
      <c r="AF253" t="s">
        <v>75</v>
      </c>
      <c r="AG253" t="s">
        <v>153</v>
      </c>
      <c r="AH253" t="s">
        <v>76</v>
      </c>
      <c r="AI253" t="s">
        <v>75</v>
      </c>
      <c r="AJ253" t="s">
        <v>120</v>
      </c>
      <c r="AK253" t="s">
        <v>115</v>
      </c>
      <c r="AL253" t="s">
        <v>115</v>
      </c>
      <c r="AM253" t="s">
        <v>116</v>
      </c>
      <c r="AN253">
        <v>1296</v>
      </c>
      <c r="AO253">
        <v>216</v>
      </c>
      <c r="AP253">
        <v>216</v>
      </c>
      <c r="AQ253" t="s">
        <v>84</v>
      </c>
      <c r="AR253" t="s">
        <v>84</v>
      </c>
      <c r="AS253" t="s">
        <v>85</v>
      </c>
      <c r="AT253" t="s">
        <v>75</v>
      </c>
      <c r="AU253" t="s">
        <v>76</v>
      </c>
      <c r="AV253">
        <v>0.54500000000000004</v>
      </c>
      <c r="AW253">
        <v>0.56100000000000005</v>
      </c>
      <c r="AX253">
        <v>0.56299999999999994</v>
      </c>
      <c r="AY253">
        <v>0.54500000000000004</v>
      </c>
      <c r="AZ253">
        <v>0.56100000000000005</v>
      </c>
      <c r="BA253">
        <v>0.56299999999999994</v>
      </c>
      <c r="BB253" t="s">
        <v>86</v>
      </c>
      <c r="BC253">
        <v>0.56100000000000005</v>
      </c>
      <c r="BD253">
        <v>0.54500000000000004</v>
      </c>
      <c r="BE253">
        <v>1</v>
      </c>
      <c r="BF253">
        <v>0.17299999999999999</v>
      </c>
      <c r="BG253">
        <v>0</v>
      </c>
      <c r="BH253">
        <v>0.122</v>
      </c>
      <c r="BI253">
        <v>0</v>
      </c>
      <c r="BJ253">
        <v>0.17299999999999999</v>
      </c>
      <c r="BK253" t="s">
        <v>75</v>
      </c>
      <c r="BL253" t="s">
        <v>153</v>
      </c>
    </row>
    <row r="254" spans="1:65" x14ac:dyDescent="0.55000000000000004">
      <c r="A254" t="s">
        <v>950</v>
      </c>
      <c r="B254">
        <v>12</v>
      </c>
      <c r="C254">
        <v>1</v>
      </c>
      <c r="D254">
        <v>1</v>
      </c>
      <c r="E254">
        <v>1</v>
      </c>
      <c r="F254">
        <v>12.1</v>
      </c>
      <c r="G254" t="s">
        <v>951</v>
      </c>
      <c r="H254" t="s">
        <v>952</v>
      </c>
      <c r="I254" t="s">
        <v>953</v>
      </c>
      <c r="J254">
        <v>2022</v>
      </c>
      <c r="K254" t="s">
        <v>921</v>
      </c>
      <c r="L254" t="s">
        <v>142</v>
      </c>
      <c r="M254" t="s">
        <v>108</v>
      </c>
      <c r="N254" t="s">
        <v>72</v>
      </c>
      <c r="O254" t="s">
        <v>954</v>
      </c>
      <c r="P254" t="s">
        <v>161</v>
      </c>
      <c r="Q254" t="s">
        <v>162</v>
      </c>
      <c r="R254" t="s">
        <v>76</v>
      </c>
      <c r="S254" t="s">
        <v>75</v>
      </c>
      <c r="T254" t="s">
        <v>75</v>
      </c>
      <c r="U254" t="s">
        <v>76</v>
      </c>
      <c r="V254" t="s">
        <v>75</v>
      </c>
      <c r="W254" t="s">
        <v>75</v>
      </c>
      <c r="X254" t="s">
        <v>135</v>
      </c>
      <c r="Y254" t="s">
        <v>135</v>
      </c>
      <c r="Z254" t="s">
        <v>77</v>
      </c>
      <c r="AA254" t="s">
        <v>78</v>
      </c>
      <c r="AB254" t="s">
        <v>161</v>
      </c>
      <c r="AC254" t="s">
        <v>135</v>
      </c>
      <c r="AD254" t="s">
        <v>78</v>
      </c>
      <c r="AE254" t="s">
        <v>79</v>
      </c>
      <c r="AF254" t="s">
        <v>75</v>
      </c>
      <c r="AG254" t="s">
        <v>407</v>
      </c>
      <c r="AH254" t="s">
        <v>75</v>
      </c>
      <c r="AI254" t="s">
        <v>75</v>
      </c>
      <c r="AK254" t="s">
        <v>115</v>
      </c>
      <c r="AL254" t="s">
        <v>115</v>
      </c>
      <c r="AM254" t="s">
        <v>116</v>
      </c>
      <c r="AN254">
        <v>479</v>
      </c>
      <c r="AO254">
        <v>95</v>
      </c>
      <c r="AP254">
        <v>109</v>
      </c>
      <c r="AQ254" t="s">
        <v>84</v>
      </c>
      <c r="AR254" t="s">
        <v>84</v>
      </c>
      <c r="AS254" t="s">
        <v>85</v>
      </c>
      <c r="AT254" t="s">
        <v>75</v>
      </c>
      <c r="AU254" t="s">
        <v>76</v>
      </c>
      <c r="AV254">
        <v>0.61899999999999999</v>
      </c>
      <c r="AW254">
        <v>0.6</v>
      </c>
      <c r="AX254">
        <v>0.60699999999999998</v>
      </c>
      <c r="AY254">
        <v>0.61899999999999999</v>
      </c>
      <c r="AZ254">
        <v>0.6</v>
      </c>
      <c r="BA254">
        <v>0.60699999999999998</v>
      </c>
      <c r="BB254" t="s">
        <v>79</v>
      </c>
      <c r="BC254">
        <v>0.61899999999999999</v>
      </c>
      <c r="BD254">
        <v>0.6</v>
      </c>
      <c r="BE254">
        <v>0</v>
      </c>
      <c r="BF254">
        <v>7.0999999999999994E-2</v>
      </c>
      <c r="BG254">
        <v>0</v>
      </c>
      <c r="BH254">
        <v>6.4000000000000001E-2</v>
      </c>
      <c r="BI254">
        <v>7.0999999999999994E-2</v>
      </c>
      <c r="BJ254">
        <v>0</v>
      </c>
      <c r="BK254" t="s">
        <v>75</v>
      </c>
      <c r="BL254" t="s">
        <v>955</v>
      </c>
    </row>
    <row r="255" spans="1:65" x14ac:dyDescent="0.55000000000000004">
      <c r="A255" t="s">
        <v>950</v>
      </c>
      <c r="B255">
        <v>12</v>
      </c>
      <c r="C255">
        <v>1</v>
      </c>
      <c r="D255">
        <v>2</v>
      </c>
      <c r="E255">
        <v>1</v>
      </c>
      <c r="F255">
        <v>12.1</v>
      </c>
      <c r="G255" t="s">
        <v>956</v>
      </c>
      <c r="H255" t="s">
        <v>952</v>
      </c>
      <c r="I255" t="s">
        <v>953</v>
      </c>
      <c r="J255">
        <v>2022</v>
      </c>
      <c r="K255" t="s">
        <v>921</v>
      </c>
      <c r="L255" t="s">
        <v>142</v>
      </c>
      <c r="M255" t="s">
        <v>108</v>
      </c>
      <c r="N255" t="s">
        <v>72</v>
      </c>
      <c r="O255" t="s">
        <v>954</v>
      </c>
      <c r="P255" t="s">
        <v>161</v>
      </c>
      <c r="Q255" t="s">
        <v>162</v>
      </c>
      <c r="R255" t="s">
        <v>76</v>
      </c>
      <c r="S255" t="s">
        <v>75</v>
      </c>
      <c r="T255" t="s">
        <v>75</v>
      </c>
      <c r="U255" t="s">
        <v>76</v>
      </c>
      <c r="V255" t="s">
        <v>75</v>
      </c>
      <c r="W255" t="s">
        <v>75</v>
      </c>
      <c r="X255" t="s">
        <v>135</v>
      </c>
      <c r="Y255" t="s">
        <v>135</v>
      </c>
      <c r="Z255" t="s">
        <v>77</v>
      </c>
      <c r="AA255" t="s">
        <v>78</v>
      </c>
      <c r="AB255" t="s">
        <v>161</v>
      </c>
      <c r="AC255" t="s">
        <v>135</v>
      </c>
      <c r="AD255" t="s">
        <v>78</v>
      </c>
      <c r="AE255" t="s">
        <v>79</v>
      </c>
      <c r="AF255" t="s">
        <v>75</v>
      </c>
      <c r="AG255" t="s">
        <v>409</v>
      </c>
      <c r="AH255" t="s">
        <v>75</v>
      </c>
      <c r="AI255" t="s">
        <v>75</v>
      </c>
      <c r="AK255" t="s">
        <v>115</v>
      </c>
      <c r="AL255" t="s">
        <v>115</v>
      </c>
      <c r="AM255" t="s">
        <v>116</v>
      </c>
      <c r="AN255">
        <v>479</v>
      </c>
      <c r="AO255">
        <v>95</v>
      </c>
      <c r="AP255">
        <v>95</v>
      </c>
      <c r="AQ255" t="s">
        <v>84</v>
      </c>
      <c r="AR255" t="s">
        <v>84</v>
      </c>
      <c r="AS255" t="s">
        <v>85</v>
      </c>
      <c r="AT255" t="s">
        <v>75</v>
      </c>
      <c r="AU255" t="s">
        <v>76</v>
      </c>
      <c r="AV255">
        <v>0.61899999999999999</v>
      </c>
      <c r="AW255">
        <v>0.6</v>
      </c>
      <c r="AX255">
        <v>0.61899999999999999</v>
      </c>
      <c r="AY255">
        <v>0.61899999999999999</v>
      </c>
      <c r="AZ255">
        <v>0.6</v>
      </c>
      <c r="BA255">
        <v>0.61899999999999999</v>
      </c>
      <c r="BB255" t="s">
        <v>79</v>
      </c>
      <c r="BC255">
        <v>0.61899999999999999</v>
      </c>
      <c r="BD255">
        <v>0.6</v>
      </c>
      <c r="BE255">
        <v>0</v>
      </c>
      <c r="BF255">
        <v>7.0999999999999994E-2</v>
      </c>
      <c r="BG255">
        <v>0</v>
      </c>
      <c r="BH255">
        <v>5.3999999999999999E-2</v>
      </c>
      <c r="BI255">
        <v>7.0999999999999994E-2</v>
      </c>
      <c r="BJ255">
        <v>0</v>
      </c>
      <c r="BK255" t="s">
        <v>75</v>
      </c>
      <c r="BL255" t="s">
        <v>957</v>
      </c>
    </row>
    <row r="256" spans="1:65" x14ac:dyDescent="0.55000000000000004">
      <c r="A256" t="s">
        <v>950</v>
      </c>
      <c r="B256">
        <v>12</v>
      </c>
      <c r="C256">
        <v>1</v>
      </c>
      <c r="D256">
        <v>3</v>
      </c>
      <c r="E256">
        <v>1</v>
      </c>
      <c r="F256">
        <v>12.1</v>
      </c>
      <c r="G256" t="s">
        <v>958</v>
      </c>
      <c r="H256" t="s">
        <v>952</v>
      </c>
      <c r="I256" t="s">
        <v>953</v>
      </c>
      <c r="J256">
        <v>2022</v>
      </c>
      <c r="K256" t="s">
        <v>921</v>
      </c>
      <c r="L256" t="s">
        <v>142</v>
      </c>
      <c r="M256" t="s">
        <v>108</v>
      </c>
      <c r="N256" t="s">
        <v>72</v>
      </c>
      <c r="O256" t="s">
        <v>954</v>
      </c>
      <c r="P256" t="s">
        <v>161</v>
      </c>
      <c r="Q256" t="s">
        <v>162</v>
      </c>
      <c r="R256" t="s">
        <v>76</v>
      </c>
      <c r="S256" t="s">
        <v>75</v>
      </c>
      <c r="T256" t="s">
        <v>75</v>
      </c>
      <c r="U256" t="s">
        <v>76</v>
      </c>
      <c r="V256" t="s">
        <v>75</v>
      </c>
      <c r="W256" t="s">
        <v>75</v>
      </c>
      <c r="X256" t="s">
        <v>135</v>
      </c>
      <c r="Y256" t="s">
        <v>135</v>
      </c>
      <c r="Z256" t="s">
        <v>77</v>
      </c>
      <c r="AA256" t="s">
        <v>78</v>
      </c>
      <c r="AB256" t="s">
        <v>161</v>
      </c>
      <c r="AC256" t="s">
        <v>135</v>
      </c>
      <c r="AD256" t="s">
        <v>78</v>
      </c>
      <c r="AE256" t="s">
        <v>79</v>
      </c>
      <c r="AF256" t="s">
        <v>75</v>
      </c>
      <c r="AG256" t="s">
        <v>571</v>
      </c>
      <c r="AH256" t="s">
        <v>75</v>
      </c>
      <c r="AI256" t="s">
        <v>75</v>
      </c>
      <c r="AK256" t="s">
        <v>115</v>
      </c>
      <c r="AL256" t="s">
        <v>115</v>
      </c>
      <c r="AM256" t="s">
        <v>116</v>
      </c>
      <c r="AN256">
        <v>479</v>
      </c>
      <c r="AO256">
        <v>95</v>
      </c>
      <c r="AP256">
        <v>85</v>
      </c>
      <c r="AQ256" t="s">
        <v>84</v>
      </c>
      <c r="AR256" t="s">
        <v>84</v>
      </c>
      <c r="AS256" t="s">
        <v>85</v>
      </c>
      <c r="AT256" t="s">
        <v>75</v>
      </c>
      <c r="AU256" t="s">
        <v>76</v>
      </c>
      <c r="AV256">
        <v>0.61899999999999999</v>
      </c>
      <c r="AW256">
        <v>0.6</v>
      </c>
      <c r="AX256">
        <v>0.61399999999999999</v>
      </c>
      <c r="AY256">
        <v>0.61899999999999999</v>
      </c>
      <c r="AZ256">
        <v>0.6</v>
      </c>
      <c r="BA256">
        <v>0.61399999999999999</v>
      </c>
      <c r="BB256" t="s">
        <v>79</v>
      </c>
      <c r="BC256">
        <v>0.61899999999999999</v>
      </c>
      <c r="BD256">
        <v>0.6</v>
      </c>
      <c r="BE256">
        <v>0</v>
      </c>
      <c r="BF256">
        <v>7.0999999999999994E-2</v>
      </c>
      <c r="BG256">
        <v>0</v>
      </c>
      <c r="BH256">
        <v>6.3E-2</v>
      </c>
      <c r="BI256">
        <v>7.0999999999999994E-2</v>
      </c>
      <c r="BJ256">
        <v>0</v>
      </c>
      <c r="BK256" t="s">
        <v>75</v>
      </c>
      <c r="BL256" t="s">
        <v>959</v>
      </c>
    </row>
    <row r="257" spans="1:65" x14ac:dyDescent="0.55000000000000004">
      <c r="A257" t="s">
        <v>950</v>
      </c>
      <c r="B257">
        <v>12</v>
      </c>
      <c r="C257">
        <v>1</v>
      </c>
      <c r="D257">
        <v>4</v>
      </c>
      <c r="E257">
        <v>1</v>
      </c>
      <c r="F257">
        <v>12.1</v>
      </c>
      <c r="G257" t="s">
        <v>960</v>
      </c>
      <c r="H257" t="s">
        <v>952</v>
      </c>
      <c r="I257" t="s">
        <v>953</v>
      </c>
      <c r="J257">
        <v>2022</v>
      </c>
      <c r="K257" t="s">
        <v>921</v>
      </c>
      <c r="L257" t="s">
        <v>142</v>
      </c>
      <c r="M257" t="s">
        <v>108</v>
      </c>
      <c r="N257" t="s">
        <v>72</v>
      </c>
      <c r="O257" t="s">
        <v>954</v>
      </c>
      <c r="P257" t="s">
        <v>161</v>
      </c>
      <c r="Q257" t="s">
        <v>162</v>
      </c>
      <c r="R257" t="s">
        <v>76</v>
      </c>
      <c r="S257" t="s">
        <v>75</v>
      </c>
      <c r="T257" t="s">
        <v>75</v>
      </c>
      <c r="U257" t="s">
        <v>76</v>
      </c>
      <c r="V257" t="s">
        <v>75</v>
      </c>
      <c r="W257" t="s">
        <v>75</v>
      </c>
      <c r="X257" t="s">
        <v>135</v>
      </c>
      <c r="Y257" t="s">
        <v>135</v>
      </c>
      <c r="Z257" t="s">
        <v>77</v>
      </c>
      <c r="AA257" t="s">
        <v>78</v>
      </c>
      <c r="AB257" t="s">
        <v>161</v>
      </c>
      <c r="AC257" t="s">
        <v>135</v>
      </c>
      <c r="AD257" t="s">
        <v>78</v>
      </c>
      <c r="AE257" t="s">
        <v>79</v>
      </c>
      <c r="AF257" t="s">
        <v>75</v>
      </c>
      <c r="AG257" t="s">
        <v>573</v>
      </c>
      <c r="AH257" t="s">
        <v>75</v>
      </c>
      <c r="AI257" t="s">
        <v>76</v>
      </c>
      <c r="AK257" t="s">
        <v>115</v>
      </c>
      <c r="AL257" t="s">
        <v>115</v>
      </c>
      <c r="AM257" t="s">
        <v>116</v>
      </c>
      <c r="AN257">
        <v>479</v>
      </c>
      <c r="AO257">
        <v>95</v>
      </c>
      <c r="AP257">
        <v>96</v>
      </c>
      <c r="AQ257" t="s">
        <v>84</v>
      </c>
      <c r="AR257" t="s">
        <v>84</v>
      </c>
      <c r="AS257" t="s">
        <v>85</v>
      </c>
      <c r="AT257" t="s">
        <v>75</v>
      </c>
      <c r="AU257" t="s">
        <v>76</v>
      </c>
      <c r="AV257">
        <v>0.61899999999999999</v>
      </c>
      <c r="AW257">
        <v>0.6</v>
      </c>
      <c r="AX257">
        <v>0.622</v>
      </c>
      <c r="AY257">
        <v>0.61899999999999999</v>
      </c>
      <c r="AZ257">
        <v>0.6</v>
      </c>
      <c r="BA257">
        <v>0.622</v>
      </c>
      <c r="BB257" t="s">
        <v>79</v>
      </c>
      <c r="BC257">
        <v>0.61899999999999999</v>
      </c>
      <c r="BD257">
        <v>0.6</v>
      </c>
      <c r="BE257">
        <v>1</v>
      </c>
      <c r="BF257">
        <v>7.0999999999999994E-2</v>
      </c>
      <c r="BG257">
        <v>0</v>
      </c>
      <c r="BH257">
        <v>5.8999999999999997E-2</v>
      </c>
      <c r="BI257">
        <v>7.0999999999999994E-2</v>
      </c>
      <c r="BJ257">
        <v>0</v>
      </c>
      <c r="BK257" t="s">
        <v>75</v>
      </c>
      <c r="BL257" t="s">
        <v>961</v>
      </c>
    </row>
    <row r="258" spans="1:65" x14ac:dyDescent="0.55000000000000004">
      <c r="A258" t="s">
        <v>962</v>
      </c>
      <c r="B258">
        <v>17</v>
      </c>
      <c r="C258">
        <v>1</v>
      </c>
      <c r="D258">
        <v>1</v>
      </c>
      <c r="E258">
        <v>1</v>
      </c>
      <c r="F258">
        <v>17.100000000000001</v>
      </c>
      <c r="G258" t="s">
        <v>963</v>
      </c>
      <c r="H258" t="s">
        <v>964</v>
      </c>
      <c r="I258" t="s">
        <v>965</v>
      </c>
      <c r="J258">
        <v>2023</v>
      </c>
      <c r="K258" t="s">
        <v>921</v>
      </c>
      <c r="L258" t="s">
        <v>966</v>
      </c>
      <c r="M258" t="s">
        <v>108</v>
      </c>
      <c r="N258" t="s">
        <v>72</v>
      </c>
      <c r="O258" t="s">
        <v>727</v>
      </c>
      <c r="P258" t="s">
        <v>161</v>
      </c>
      <c r="Q258" t="s">
        <v>162</v>
      </c>
      <c r="R258" t="s">
        <v>76</v>
      </c>
      <c r="S258" t="s">
        <v>75</v>
      </c>
      <c r="T258" t="s">
        <v>75</v>
      </c>
      <c r="U258" t="s">
        <v>76</v>
      </c>
      <c r="V258" t="s">
        <v>75</v>
      </c>
      <c r="W258" t="s">
        <v>75</v>
      </c>
      <c r="X258" t="s">
        <v>74</v>
      </c>
      <c r="Y258" t="s">
        <v>74</v>
      </c>
      <c r="Z258" t="s">
        <v>77</v>
      </c>
      <c r="AA258" t="s">
        <v>78</v>
      </c>
      <c r="AB258" t="s">
        <v>161</v>
      </c>
      <c r="AC258" t="s">
        <v>74</v>
      </c>
      <c r="AD258" t="s">
        <v>78</v>
      </c>
      <c r="AE258" t="s">
        <v>79</v>
      </c>
      <c r="AF258" t="s">
        <v>75</v>
      </c>
      <c r="AG258" t="s">
        <v>967</v>
      </c>
      <c r="AH258" t="s">
        <v>75</v>
      </c>
      <c r="AI258" t="s">
        <v>75</v>
      </c>
      <c r="AK258" t="s">
        <v>968</v>
      </c>
      <c r="AL258" t="s">
        <v>115</v>
      </c>
      <c r="AM258" t="s">
        <v>116</v>
      </c>
      <c r="AN258">
        <v>738</v>
      </c>
      <c r="AO258">
        <v>93</v>
      </c>
      <c r="AP258">
        <v>93</v>
      </c>
      <c r="AQ258" t="s">
        <v>84</v>
      </c>
      <c r="AR258" t="s">
        <v>84</v>
      </c>
      <c r="AS258" t="s">
        <v>85</v>
      </c>
      <c r="AT258" t="s">
        <v>75</v>
      </c>
      <c r="AU258" t="s">
        <v>76</v>
      </c>
      <c r="AV258">
        <v>0.71079999999999999</v>
      </c>
      <c r="AW258">
        <v>0.79069999999999996</v>
      </c>
      <c r="AX258">
        <v>0.75529999999999997</v>
      </c>
      <c r="AY258">
        <v>0.71079999999999999</v>
      </c>
      <c r="AZ258">
        <v>0.79069999999999996</v>
      </c>
      <c r="BA258">
        <v>0.75529999999999997</v>
      </c>
      <c r="BB258" t="s">
        <v>86</v>
      </c>
      <c r="BC258">
        <v>0.79069999999999996</v>
      </c>
      <c r="BD258">
        <v>0.71079999999999999</v>
      </c>
      <c r="BE258">
        <v>0</v>
      </c>
      <c r="BF258">
        <v>7.3599999999999999E-2</v>
      </c>
      <c r="BG258">
        <v>3.2899999999999999E-2</v>
      </c>
      <c r="BH258">
        <v>4.4600000000000001E-2</v>
      </c>
      <c r="BI258">
        <v>3.2899999999999999E-2</v>
      </c>
      <c r="BJ258">
        <v>7.3599999999999999E-2</v>
      </c>
      <c r="BK258" t="s">
        <v>75</v>
      </c>
      <c r="BL258" t="s">
        <v>969</v>
      </c>
    </row>
    <row r="259" spans="1:65" x14ac:dyDescent="0.55000000000000004">
      <c r="A259" t="s">
        <v>962</v>
      </c>
      <c r="B259">
        <v>17</v>
      </c>
      <c r="C259">
        <v>1</v>
      </c>
      <c r="D259">
        <v>2</v>
      </c>
      <c r="E259">
        <v>1</v>
      </c>
      <c r="F259">
        <v>17.100000000000001</v>
      </c>
      <c r="G259" t="s">
        <v>970</v>
      </c>
      <c r="H259" t="s">
        <v>964</v>
      </c>
      <c r="I259" t="s">
        <v>965</v>
      </c>
      <c r="J259">
        <v>2023</v>
      </c>
      <c r="K259" t="s">
        <v>921</v>
      </c>
      <c r="L259" t="s">
        <v>966</v>
      </c>
      <c r="M259" t="s">
        <v>108</v>
      </c>
      <c r="N259" t="s">
        <v>72</v>
      </c>
      <c r="O259" t="s">
        <v>727</v>
      </c>
      <c r="P259" t="s">
        <v>161</v>
      </c>
      <c r="Q259" t="s">
        <v>162</v>
      </c>
      <c r="R259" t="s">
        <v>76</v>
      </c>
      <c r="S259" t="s">
        <v>75</v>
      </c>
      <c r="T259" t="s">
        <v>75</v>
      </c>
      <c r="U259" t="s">
        <v>76</v>
      </c>
      <c r="V259" t="s">
        <v>75</v>
      </c>
      <c r="W259" t="s">
        <v>75</v>
      </c>
      <c r="X259" t="s">
        <v>74</v>
      </c>
      <c r="Y259" t="s">
        <v>74</v>
      </c>
      <c r="Z259" t="s">
        <v>77</v>
      </c>
      <c r="AA259" t="s">
        <v>78</v>
      </c>
      <c r="AB259" t="s">
        <v>161</v>
      </c>
      <c r="AC259" t="s">
        <v>74</v>
      </c>
      <c r="AD259" t="s">
        <v>78</v>
      </c>
      <c r="AE259" t="s">
        <v>79</v>
      </c>
      <c r="AF259" t="s">
        <v>75</v>
      </c>
      <c r="AG259" t="s">
        <v>971</v>
      </c>
      <c r="AH259" t="s">
        <v>76</v>
      </c>
      <c r="AI259" t="s">
        <v>75</v>
      </c>
      <c r="AJ259" t="s">
        <v>185</v>
      </c>
      <c r="AK259" t="s">
        <v>968</v>
      </c>
      <c r="AL259" t="s">
        <v>115</v>
      </c>
      <c r="AM259" t="s">
        <v>116</v>
      </c>
      <c r="AN259">
        <v>738</v>
      </c>
      <c r="AO259">
        <v>93</v>
      </c>
      <c r="AP259">
        <v>89</v>
      </c>
      <c r="AQ259" t="s">
        <v>84</v>
      </c>
      <c r="AR259" t="s">
        <v>84</v>
      </c>
      <c r="AS259" t="s">
        <v>85</v>
      </c>
      <c r="AT259" t="s">
        <v>75</v>
      </c>
      <c r="AU259" t="s">
        <v>76</v>
      </c>
      <c r="AV259">
        <v>0.71079999999999999</v>
      </c>
      <c r="AW259">
        <v>0.79749999999999999</v>
      </c>
      <c r="AX259">
        <v>0.74990000000000001</v>
      </c>
      <c r="AY259">
        <v>0.71079999999999999</v>
      </c>
      <c r="AZ259">
        <v>0.79749999999999999</v>
      </c>
      <c r="BA259">
        <v>0.74990000000000001</v>
      </c>
      <c r="BB259" t="s">
        <v>86</v>
      </c>
      <c r="BC259">
        <v>0.79749999999999999</v>
      </c>
      <c r="BD259">
        <v>0.71079999999999999</v>
      </c>
      <c r="BE259">
        <v>0</v>
      </c>
      <c r="BF259">
        <v>7.3599999999999999E-2</v>
      </c>
      <c r="BG259">
        <v>3.0499999999999999E-2</v>
      </c>
      <c r="BH259">
        <v>5.4800000000000001E-2</v>
      </c>
      <c r="BI259">
        <v>3.0499999999999999E-2</v>
      </c>
      <c r="BJ259">
        <v>7.3599999999999999E-2</v>
      </c>
      <c r="BK259" t="s">
        <v>75</v>
      </c>
      <c r="BL259" t="s">
        <v>972</v>
      </c>
    </row>
    <row r="260" spans="1:65" x14ac:dyDescent="0.55000000000000004">
      <c r="A260" t="s">
        <v>962</v>
      </c>
      <c r="B260">
        <v>17</v>
      </c>
      <c r="C260">
        <v>1</v>
      </c>
      <c r="D260">
        <v>3</v>
      </c>
      <c r="E260">
        <v>1</v>
      </c>
      <c r="F260">
        <v>17.100000000000001</v>
      </c>
      <c r="G260" t="s">
        <v>973</v>
      </c>
      <c r="H260" t="s">
        <v>964</v>
      </c>
      <c r="I260" t="s">
        <v>965</v>
      </c>
      <c r="J260">
        <v>2023</v>
      </c>
      <c r="K260" t="s">
        <v>921</v>
      </c>
      <c r="L260" t="s">
        <v>966</v>
      </c>
      <c r="M260" t="s">
        <v>108</v>
      </c>
      <c r="N260" t="s">
        <v>72</v>
      </c>
      <c r="O260" t="s">
        <v>727</v>
      </c>
      <c r="P260" t="s">
        <v>161</v>
      </c>
      <c r="Q260" t="s">
        <v>162</v>
      </c>
      <c r="R260" t="s">
        <v>76</v>
      </c>
      <c r="S260" t="s">
        <v>75</v>
      </c>
      <c r="T260" t="s">
        <v>75</v>
      </c>
      <c r="U260" t="s">
        <v>76</v>
      </c>
      <c r="V260" t="s">
        <v>75</v>
      </c>
      <c r="W260" t="s">
        <v>75</v>
      </c>
      <c r="X260" t="s">
        <v>74</v>
      </c>
      <c r="Y260" t="s">
        <v>74</v>
      </c>
      <c r="Z260" t="s">
        <v>77</v>
      </c>
      <c r="AA260" t="s">
        <v>78</v>
      </c>
      <c r="AB260" t="s">
        <v>161</v>
      </c>
      <c r="AC260" t="s">
        <v>74</v>
      </c>
      <c r="AD260" t="s">
        <v>78</v>
      </c>
      <c r="AE260" t="s">
        <v>79</v>
      </c>
      <c r="AF260" t="s">
        <v>75</v>
      </c>
      <c r="AG260" t="s">
        <v>422</v>
      </c>
      <c r="AH260" t="s">
        <v>76</v>
      </c>
      <c r="AI260" t="s">
        <v>75</v>
      </c>
      <c r="AJ260" t="s">
        <v>185</v>
      </c>
      <c r="AK260" t="s">
        <v>968</v>
      </c>
      <c r="AL260" t="s">
        <v>115</v>
      </c>
      <c r="AM260" t="s">
        <v>116</v>
      </c>
      <c r="AN260">
        <v>738</v>
      </c>
      <c r="AO260">
        <v>93</v>
      </c>
      <c r="AP260">
        <v>96</v>
      </c>
      <c r="AQ260" t="s">
        <v>84</v>
      </c>
      <c r="AR260" t="s">
        <v>84</v>
      </c>
      <c r="AS260" t="s">
        <v>85</v>
      </c>
      <c r="AT260" t="s">
        <v>75</v>
      </c>
      <c r="AU260" t="s">
        <v>76</v>
      </c>
      <c r="AV260">
        <v>0.71079999999999999</v>
      </c>
      <c r="AW260">
        <v>0.79649999999999999</v>
      </c>
      <c r="AX260">
        <v>0.74319999999999997</v>
      </c>
      <c r="AY260">
        <v>0.71079999999999999</v>
      </c>
      <c r="AZ260">
        <v>0.79649999999999999</v>
      </c>
      <c r="BA260">
        <v>0.74319999999999997</v>
      </c>
      <c r="BB260" t="s">
        <v>86</v>
      </c>
      <c r="BC260">
        <v>0.79649999999999999</v>
      </c>
      <c r="BD260">
        <v>0.71079999999999999</v>
      </c>
      <c r="BE260">
        <v>0</v>
      </c>
      <c r="BF260">
        <v>7.3599999999999999E-2</v>
      </c>
      <c r="BG260">
        <v>3.1399999999999997E-2</v>
      </c>
      <c r="BH260">
        <v>7.5499999999999998E-2</v>
      </c>
      <c r="BI260">
        <v>3.1399999999999997E-2</v>
      </c>
      <c r="BJ260">
        <v>7.3599999999999999E-2</v>
      </c>
      <c r="BK260" t="s">
        <v>75</v>
      </c>
      <c r="BL260" t="s">
        <v>972</v>
      </c>
    </row>
    <row r="261" spans="1:65" x14ac:dyDescent="0.55000000000000004">
      <c r="A261" t="s">
        <v>962</v>
      </c>
      <c r="B261">
        <v>17</v>
      </c>
      <c r="C261">
        <v>1</v>
      </c>
      <c r="D261">
        <v>4</v>
      </c>
      <c r="E261">
        <v>1</v>
      </c>
      <c r="F261">
        <v>17.100000000000001</v>
      </c>
      <c r="G261" t="s">
        <v>974</v>
      </c>
      <c r="H261" t="s">
        <v>964</v>
      </c>
      <c r="I261" t="s">
        <v>965</v>
      </c>
      <c r="J261">
        <v>2023</v>
      </c>
      <c r="K261" t="s">
        <v>921</v>
      </c>
      <c r="L261" t="s">
        <v>966</v>
      </c>
      <c r="M261" t="s">
        <v>108</v>
      </c>
      <c r="N261" t="s">
        <v>72</v>
      </c>
      <c r="O261" t="s">
        <v>727</v>
      </c>
      <c r="P261" t="s">
        <v>161</v>
      </c>
      <c r="Q261" t="s">
        <v>162</v>
      </c>
      <c r="R261" t="s">
        <v>76</v>
      </c>
      <c r="S261" t="s">
        <v>75</v>
      </c>
      <c r="T261" t="s">
        <v>75</v>
      </c>
      <c r="U261" t="s">
        <v>76</v>
      </c>
      <c r="V261" t="s">
        <v>75</v>
      </c>
      <c r="W261" t="s">
        <v>75</v>
      </c>
      <c r="X261" t="s">
        <v>74</v>
      </c>
      <c r="Y261" t="s">
        <v>74</v>
      </c>
      <c r="Z261" t="s">
        <v>77</v>
      </c>
      <c r="AA261" t="s">
        <v>78</v>
      </c>
      <c r="AB261" t="s">
        <v>161</v>
      </c>
      <c r="AC261" t="s">
        <v>74</v>
      </c>
      <c r="AD261" t="s">
        <v>78</v>
      </c>
      <c r="AE261" t="s">
        <v>79</v>
      </c>
      <c r="AF261" t="s">
        <v>75</v>
      </c>
      <c r="AG261" t="s">
        <v>425</v>
      </c>
      <c r="AH261" t="s">
        <v>76</v>
      </c>
      <c r="AI261" t="s">
        <v>75</v>
      </c>
      <c r="AJ261" t="s">
        <v>185</v>
      </c>
      <c r="AK261" t="s">
        <v>968</v>
      </c>
      <c r="AL261" t="s">
        <v>115</v>
      </c>
      <c r="AM261" t="s">
        <v>116</v>
      </c>
      <c r="AN261">
        <v>738</v>
      </c>
      <c r="AO261">
        <v>93</v>
      </c>
      <c r="AP261">
        <v>95</v>
      </c>
      <c r="AQ261" t="s">
        <v>84</v>
      </c>
      <c r="AR261" t="s">
        <v>84</v>
      </c>
      <c r="AS261" t="s">
        <v>85</v>
      </c>
      <c r="AT261" t="s">
        <v>75</v>
      </c>
      <c r="AU261" t="s">
        <v>76</v>
      </c>
      <c r="AV261">
        <v>0.71079999999999999</v>
      </c>
      <c r="AW261">
        <v>0.79590000000000005</v>
      </c>
      <c r="AX261">
        <v>0.75660000000000005</v>
      </c>
      <c r="AY261">
        <v>0.71079999999999999</v>
      </c>
      <c r="AZ261">
        <v>0.79590000000000005</v>
      </c>
      <c r="BA261">
        <v>0.75660000000000005</v>
      </c>
      <c r="BB261" t="s">
        <v>86</v>
      </c>
      <c r="BC261">
        <v>0.79590000000000005</v>
      </c>
      <c r="BD261">
        <v>0.71079999999999999</v>
      </c>
      <c r="BE261">
        <v>0</v>
      </c>
      <c r="BF261">
        <v>7.3599999999999999E-2</v>
      </c>
      <c r="BG261">
        <v>3.1600000000000003E-2</v>
      </c>
      <c r="BH261">
        <v>5.0700000000000002E-2</v>
      </c>
      <c r="BI261">
        <v>3.1600000000000003E-2</v>
      </c>
      <c r="BJ261">
        <v>7.3599999999999999E-2</v>
      </c>
      <c r="BK261" t="s">
        <v>75</v>
      </c>
      <c r="BL261" t="s">
        <v>975</v>
      </c>
    </row>
    <row r="262" spans="1:65" x14ac:dyDescent="0.55000000000000004">
      <c r="A262" t="s">
        <v>962</v>
      </c>
      <c r="B262">
        <v>17</v>
      </c>
      <c r="C262">
        <v>1</v>
      </c>
      <c r="D262">
        <v>5</v>
      </c>
      <c r="E262">
        <v>1</v>
      </c>
      <c r="F262">
        <v>17.100000000000001</v>
      </c>
      <c r="G262" t="s">
        <v>976</v>
      </c>
      <c r="H262" t="s">
        <v>964</v>
      </c>
      <c r="I262" t="s">
        <v>965</v>
      </c>
      <c r="J262">
        <v>2023</v>
      </c>
      <c r="K262" t="s">
        <v>921</v>
      </c>
      <c r="L262" t="s">
        <v>966</v>
      </c>
      <c r="M262" t="s">
        <v>108</v>
      </c>
      <c r="N262" t="s">
        <v>72</v>
      </c>
      <c r="O262" t="s">
        <v>727</v>
      </c>
      <c r="P262" t="s">
        <v>161</v>
      </c>
      <c r="Q262" t="s">
        <v>162</v>
      </c>
      <c r="R262" t="s">
        <v>76</v>
      </c>
      <c r="S262" t="s">
        <v>75</v>
      </c>
      <c r="T262" t="s">
        <v>75</v>
      </c>
      <c r="U262" t="s">
        <v>76</v>
      </c>
      <c r="V262" t="s">
        <v>75</v>
      </c>
      <c r="W262" t="s">
        <v>75</v>
      </c>
      <c r="X262" t="s">
        <v>74</v>
      </c>
      <c r="Y262" t="s">
        <v>74</v>
      </c>
      <c r="Z262" t="s">
        <v>77</v>
      </c>
      <c r="AA262" t="s">
        <v>78</v>
      </c>
      <c r="AB262" t="s">
        <v>161</v>
      </c>
      <c r="AC262" t="s">
        <v>74</v>
      </c>
      <c r="AD262" t="s">
        <v>78</v>
      </c>
      <c r="AE262" t="s">
        <v>79</v>
      </c>
      <c r="AF262" t="s">
        <v>75</v>
      </c>
      <c r="AG262" t="s">
        <v>969</v>
      </c>
      <c r="AH262" t="s">
        <v>76</v>
      </c>
      <c r="AI262" t="s">
        <v>75</v>
      </c>
      <c r="AJ262" t="s">
        <v>185</v>
      </c>
      <c r="AK262" t="s">
        <v>968</v>
      </c>
      <c r="AL262" t="s">
        <v>115</v>
      </c>
      <c r="AM262" t="s">
        <v>116</v>
      </c>
      <c r="AN262">
        <v>738</v>
      </c>
      <c r="AO262">
        <v>93</v>
      </c>
      <c r="AP262">
        <v>93</v>
      </c>
      <c r="AQ262" t="s">
        <v>84</v>
      </c>
      <c r="AR262" t="s">
        <v>84</v>
      </c>
      <c r="AS262" t="s">
        <v>85</v>
      </c>
      <c r="AT262" t="s">
        <v>75</v>
      </c>
      <c r="AU262" t="s">
        <v>76</v>
      </c>
      <c r="AV262">
        <v>0.71079999999999999</v>
      </c>
      <c r="AW262">
        <v>0.7954</v>
      </c>
      <c r="AX262">
        <v>0.75049999999999994</v>
      </c>
      <c r="AY262">
        <v>0.71079999999999999</v>
      </c>
      <c r="AZ262">
        <v>0.7954</v>
      </c>
      <c r="BA262">
        <v>0.75049999999999994</v>
      </c>
      <c r="BB262" t="s">
        <v>86</v>
      </c>
      <c r="BC262">
        <v>0.7954</v>
      </c>
      <c r="BD262">
        <v>0.71079999999999999</v>
      </c>
      <c r="BE262">
        <v>0</v>
      </c>
      <c r="BF262">
        <v>7.3599999999999999E-2</v>
      </c>
      <c r="BG262">
        <v>3.1099999999999999E-2</v>
      </c>
      <c r="BH262">
        <v>7.3200000000000001E-2</v>
      </c>
      <c r="BI262">
        <v>3.1099999999999999E-2</v>
      </c>
      <c r="BJ262">
        <v>7.3599999999999999E-2</v>
      </c>
      <c r="BK262" t="s">
        <v>75</v>
      </c>
      <c r="BL262" t="s">
        <v>975</v>
      </c>
    </row>
    <row r="263" spans="1:65" x14ac:dyDescent="0.55000000000000004">
      <c r="A263" t="s">
        <v>977</v>
      </c>
      <c r="B263">
        <v>30</v>
      </c>
      <c r="C263">
        <v>1</v>
      </c>
      <c r="D263">
        <v>1</v>
      </c>
      <c r="E263">
        <v>1</v>
      </c>
      <c r="F263">
        <v>30.1</v>
      </c>
      <c r="G263" t="s">
        <v>978</v>
      </c>
      <c r="H263" t="s">
        <v>979</v>
      </c>
      <c r="I263" t="s">
        <v>980</v>
      </c>
      <c r="J263">
        <v>2021</v>
      </c>
      <c r="K263" t="s">
        <v>921</v>
      </c>
      <c r="L263" t="s">
        <v>981</v>
      </c>
      <c r="M263" t="s">
        <v>108</v>
      </c>
      <c r="N263" t="s">
        <v>72</v>
      </c>
      <c r="O263" t="s">
        <v>938</v>
      </c>
      <c r="P263" t="s">
        <v>161</v>
      </c>
      <c r="Q263" t="s">
        <v>162</v>
      </c>
      <c r="R263" t="s">
        <v>76</v>
      </c>
      <c r="S263" t="s">
        <v>75</v>
      </c>
      <c r="T263" t="s">
        <v>75</v>
      </c>
      <c r="U263" t="s">
        <v>76</v>
      </c>
      <c r="V263" t="s">
        <v>75</v>
      </c>
      <c r="W263" t="s">
        <v>75</v>
      </c>
      <c r="X263" t="s">
        <v>74</v>
      </c>
      <c r="Y263" t="s">
        <v>74</v>
      </c>
      <c r="Z263" t="s">
        <v>77</v>
      </c>
      <c r="AA263" t="s">
        <v>78</v>
      </c>
      <c r="AB263" t="s">
        <v>161</v>
      </c>
      <c r="AC263" t="s">
        <v>982</v>
      </c>
      <c r="AD263" t="s">
        <v>78</v>
      </c>
      <c r="AE263" t="s">
        <v>79</v>
      </c>
      <c r="AF263" t="s">
        <v>75</v>
      </c>
      <c r="AH263" t="s">
        <v>75</v>
      </c>
      <c r="AI263" t="s">
        <v>76</v>
      </c>
      <c r="AK263" t="s">
        <v>968</v>
      </c>
      <c r="AL263" t="s">
        <v>115</v>
      </c>
      <c r="AM263" t="s">
        <v>116</v>
      </c>
      <c r="AN263">
        <v>268</v>
      </c>
      <c r="AO263">
        <v>138</v>
      </c>
      <c r="AP263">
        <v>130</v>
      </c>
      <c r="AQ263" t="s">
        <v>84</v>
      </c>
      <c r="AR263" t="s">
        <v>84</v>
      </c>
      <c r="AS263" t="s">
        <v>85</v>
      </c>
      <c r="AT263" t="s">
        <v>75</v>
      </c>
      <c r="AU263" t="s">
        <v>76</v>
      </c>
      <c r="AV263">
        <v>0.72099999999999997</v>
      </c>
      <c r="AW263">
        <v>0.79300000000000004</v>
      </c>
      <c r="AX263">
        <v>0.751</v>
      </c>
      <c r="AY263">
        <v>0.72099999999999997</v>
      </c>
      <c r="AZ263">
        <v>0.79300000000000004</v>
      </c>
      <c r="BA263">
        <v>0.751</v>
      </c>
      <c r="BB263" t="s">
        <v>86</v>
      </c>
      <c r="BC263">
        <v>0.79300000000000004</v>
      </c>
      <c r="BD263">
        <v>0.72099999999999997</v>
      </c>
      <c r="BE263">
        <v>0</v>
      </c>
      <c r="BF263">
        <v>0.29799999999999999</v>
      </c>
      <c r="BG263">
        <v>0.184</v>
      </c>
      <c r="BH263">
        <v>0.24199999999999999</v>
      </c>
      <c r="BI263">
        <v>0.184</v>
      </c>
      <c r="BJ263">
        <v>0.29799999999999999</v>
      </c>
      <c r="BK263" t="s">
        <v>75</v>
      </c>
    </row>
    <row r="264" spans="1:65" x14ac:dyDescent="0.55000000000000004">
      <c r="A264" t="s">
        <v>977</v>
      </c>
      <c r="B264">
        <v>30</v>
      </c>
      <c r="C264">
        <v>2</v>
      </c>
      <c r="D264">
        <v>1</v>
      </c>
      <c r="E264">
        <v>1</v>
      </c>
      <c r="F264">
        <v>30.2</v>
      </c>
      <c r="G264" t="s">
        <v>983</v>
      </c>
      <c r="H264" t="s">
        <v>979</v>
      </c>
      <c r="I264" t="s">
        <v>980</v>
      </c>
      <c r="J264">
        <v>2021</v>
      </c>
      <c r="K264" t="s">
        <v>921</v>
      </c>
      <c r="L264" t="s">
        <v>981</v>
      </c>
      <c r="M264" t="s">
        <v>108</v>
      </c>
      <c r="N264" t="s">
        <v>72</v>
      </c>
      <c r="O264" t="s">
        <v>984</v>
      </c>
      <c r="P264" t="s">
        <v>161</v>
      </c>
      <c r="Q264" t="s">
        <v>162</v>
      </c>
      <c r="R264" t="s">
        <v>76</v>
      </c>
      <c r="S264" t="s">
        <v>75</v>
      </c>
      <c r="T264" t="s">
        <v>75</v>
      </c>
      <c r="U264" t="s">
        <v>76</v>
      </c>
      <c r="V264" t="s">
        <v>75</v>
      </c>
      <c r="W264" t="s">
        <v>75</v>
      </c>
      <c r="X264" t="s">
        <v>74</v>
      </c>
      <c r="Y264" t="s">
        <v>74</v>
      </c>
      <c r="Z264" t="s">
        <v>77</v>
      </c>
      <c r="AA264" t="s">
        <v>78</v>
      </c>
      <c r="AB264" t="s">
        <v>161</v>
      </c>
      <c r="AC264" t="s">
        <v>982</v>
      </c>
      <c r="AD264" t="s">
        <v>78</v>
      </c>
      <c r="AE264" t="s">
        <v>79</v>
      </c>
      <c r="AF264" t="s">
        <v>75</v>
      </c>
      <c r="AH264" t="s">
        <v>75</v>
      </c>
      <c r="AI264" t="s">
        <v>76</v>
      </c>
      <c r="AK264" t="s">
        <v>968</v>
      </c>
      <c r="AL264" t="s">
        <v>115</v>
      </c>
      <c r="AM264" t="s">
        <v>116</v>
      </c>
      <c r="AN264">
        <v>276</v>
      </c>
      <c r="AO264">
        <v>145</v>
      </c>
      <c r="AP264">
        <v>131</v>
      </c>
      <c r="AQ264" t="s">
        <v>84</v>
      </c>
      <c r="AR264" t="s">
        <v>84</v>
      </c>
      <c r="AS264" t="s">
        <v>85</v>
      </c>
      <c r="AT264" t="s">
        <v>75</v>
      </c>
      <c r="AU264" t="s">
        <v>76</v>
      </c>
      <c r="AV264">
        <v>0.752</v>
      </c>
      <c r="AW264">
        <v>0.875</v>
      </c>
      <c r="AX264">
        <v>0.83199999999999996</v>
      </c>
      <c r="AY264">
        <v>0.752</v>
      </c>
      <c r="AZ264">
        <v>0.875</v>
      </c>
      <c r="BA264">
        <v>0.83199999999999996</v>
      </c>
      <c r="BB264" t="s">
        <v>86</v>
      </c>
      <c r="BC264">
        <v>0.875</v>
      </c>
      <c r="BD264">
        <v>0.752</v>
      </c>
      <c r="BE264">
        <v>0</v>
      </c>
      <c r="BF264">
        <v>0.26700000000000002</v>
      </c>
      <c r="BG264">
        <v>0.222</v>
      </c>
      <c r="BH264">
        <v>0.24099999999999999</v>
      </c>
      <c r="BI264">
        <v>0.222</v>
      </c>
      <c r="BJ264">
        <v>0.26700000000000002</v>
      </c>
      <c r="BK264" t="s">
        <v>75</v>
      </c>
      <c r="BL264" t="s">
        <v>165</v>
      </c>
      <c r="BM264" t="s">
        <v>646</v>
      </c>
    </row>
    <row r="265" spans="1:65" x14ac:dyDescent="0.55000000000000004">
      <c r="A265" t="s">
        <v>985</v>
      </c>
      <c r="B265">
        <v>47</v>
      </c>
      <c r="C265">
        <v>1</v>
      </c>
      <c r="D265">
        <v>1</v>
      </c>
      <c r="E265">
        <v>1</v>
      </c>
      <c r="F265">
        <v>47.1</v>
      </c>
      <c r="G265" t="s">
        <v>986</v>
      </c>
      <c r="H265" t="s">
        <v>987</v>
      </c>
      <c r="I265" t="s">
        <v>988</v>
      </c>
      <c r="J265">
        <v>2021</v>
      </c>
      <c r="K265" t="s">
        <v>921</v>
      </c>
      <c r="L265" t="s">
        <v>500</v>
      </c>
      <c r="M265" t="s">
        <v>217</v>
      </c>
      <c r="N265" t="s">
        <v>100</v>
      </c>
      <c r="O265" t="s">
        <v>727</v>
      </c>
      <c r="P265" t="s">
        <v>185</v>
      </c>
      <c r="Q265" t="s">
        <v>162</v>
      </c>
      <c r="R265" t="s">
        <v>75</v>
      </c>
      <c r="S265" t="s">
        <v>75</v>
      </c>
      <c r="T265" t="s">
        <v>75</v>
      </c>
      <c r="U265" t="s">
        <v>76</v>
      </c>
      <c r="V265" t="s">
        <v>76</v>
      </c>
      <c r="W265" t="s">
        <v>75</v>
      </c>
      <c r="X265" t="s">
        <v>135</v>
      </c>
      <c r="Y265" t="s">
        <v>135</v>
      </c>
      <c r="Z265" t="s">
        <v>77</v>
      </c>
      <c r="AA265" t="s">
        <v>78</v>
      </c>
      <c r="AB265" t="s">
        <v>161</v>
      </c>
      <c r="AC265" t="s">
        <v>179</v>
      </c>
      <c r="AD265" t="s">
        <v>78</v>
      </c>
      <c r="AE265" t="s">
        <v>79</v>
      </c>
      <c r="AF265" t="s">
        <v>75</v>
      </c>
      <c r="AG265" t="s">
        <v>302</v>
      </c>
      <c r="AH265" t="s">
        <v>75</v>
      </c>
      <c r="AI265" t="s">
        <v>76</v>
      </c>
      <c r="AK265" t="s">
        <v>115</v>
      </c>
      <c r="AL265" t="s">
        <v>115</v>
      </c>
      <c r="AM265" t="s">
        <v>116</v>
      </c>
      <c r="AN265">
        <v>531</v>
      </c>
      <c r="AO265">
        <v>531</v>
      </c>
      <c r="AP265">
        <v>531</v>
      </c>
      <c r="AQ265" t="s">
        <v>84</v>
      </c>
      <c r="AR265" t="s">
        <v>84</v>
      </c>
      <c r="AS265" t="s">
        <v>85</v>
      </c>
      <c r="AT265" t="s">
        <v>75</v>
      </c>
      <c r="AU265" t="s">
        <v>76</v>
      </c>
      <c r="AV265">
        <v>0.56869999999999998</v>
      </c>
      <c r="AW265">
        <v>0.61219999999999997</v>
      </c>
      <c r="AX265">
        <v>0.57150000000000001</v>
      </c>
      <c r="AY265">
        <v>0.56869999999999998</v>
      </c>
      <c r="AZ265">
        <v>0.61219999999999997</v>
      </c>
      <c r="BA265">
        <v>0.57150000000000001</v>
      </c>
      <c r="BB265" t="s">
        <v>86</v>
      </c>
      <c r="BC265">
        <v>0.61219999999999997</v>
      </c>
      <c r="BD265">
        <v>0.56869999999999998</v>
      </c>
      <c r="BE265">
        <v>0</v>
      </c>
      <c r="BF265">
        <v>6.1499999999999999E-2</v>
      </c>
      <c r="BG265">
        <v>5.8000000000000003E-2</v>
      </c>
      <c r="BH265">
        <v>6.54E-2</v>
      </c>
      <c r="BI265">
        <v>5.8034205999999998E-2</v>
      </c>
      <c r="BJ265">
        <v>6.1499999999999999E-2</v>
      </c>
      <c r="BK265" t="s">
        <v>75</v>
      </c>
      <c r="BL265" t="s">
        <v>483</v>
      </c>
      <c r="BM265" t="s">
        <v>927</v>
      </c>
    </row>
    <row r="266" spans="1:65" x14ac:dyDescent="0.55000000000000004">
      <c r="A266" t="s">
        <v>985</v>
      </c>
      <c r="B266">
        <v>47</v>
      </c>
      <c r="C266">
        <v>1</v>
      </c>
      <c r="D266">
        <v>1</v>
      </c>
      <c r="E266">
        <v>2</v>
      </c>
      <c r="F266">
        <v>47.1</v>
      </c>
      <c r="G266" t="s">
        <v>989</v>
      </c>
      <c r="H266" t="s">
        <v>987</v>
      </c>
      <c r="I266" t="s">
        <v>988</v>
      </c>
      <c r="J266">
        <v>2021</v>
      </c>
      <c r="K266" t="s">
        <v>921</v>
      </c>
      <c r="L266" t="s">
        <v>500</v>
      </c>
      <c r="M266" t="s">
        <v>217</v>
      </c>
      <c r="N266" t="s">
        <v>100</v>
      </c>
      <c r="O266" t="s">
        <v>727</v>
      </c>
      <c r="P266" t="s">
        <v>185</v>
      </c>
      <c r="Q266" t="s">
        <v>162</v>
      </c>
      <c r="R266" t="s">
        <v>75</v>
      </c>
      <c r="S266" t="s">
        <v>75</v>
      </c>
      <c r="T266" t="s">
        <v>75</v>
      </c>
      <c r="U266" t="s">
        <v>76</v>
      </c>
      <c r="V266" t="s">
        <v>76</v>
      </c>
      <c r="W266" t="s">
        <v>75</v>
      </c>
      <c r="X266" t="s">
        <v>135</v>
      </c>
      <c r="Y266" t="s">
        <v>135</v>
      </c>
      <c r="Z266" t="s">
        <v>77</v>
      </c>
      <c r="AA266" t="s">
        <v>78</v>
      </c>
      <c r="AB266" t="s">
        <v>161</v>
      </c>
      <c r="AC266" t="s">
        <v>179</v>
      </c>
      <c r="AD266" t="s">
        <v>78</v>
      </c>
      <c r="AE266" t="s">
        <v>79</v>
      </c>
      <c r="AF266" t="s">
        <v>75</v>
      </c>
      <c r="AG266" t="s">
        <v>302</v>
      </c>
      <c r="AH266" t="s">
        <v>75</v>
      </c>
      <c r="AI266" t="s">
        <v>76</v>
      </c>
      <c r="AK266" t="s">
        <v>812</v>
      </c>
      <c r="AL266" t="s">
        <v>115</v>
      </c>
      <c r="AM266" t="s">
        <v>116</v>
      </c>
      <c r="AN266">
        <v>531</v>
      </c>
      <c r="AO266">
        <v>531</v>
      </c>
      <c r="AP266">
        <v>531</v>
      </c>
      <c r="AQ266" t="s">
        <v>84</v>
      </c>
      <c r="AR266" t="s">
        <v>84</v>
      </c>
      <c r="AS266" t="s">
        <v>85</v>
      </c>
      <c r="AT266" t="s">
        <v>75</v>
      </c>
      <c r="AU266" t="s">
        <v>76</v>
      </c>
      <c r="AV266">
        <v>0.5081</v>
      </c>
      <c r="AW266">
        <v>0.66349999999999998</v>
      </c>
      <c r="AX266">
        <v>0.52790000000000004</v>
      </c>
      <c r="AY266">
        <v>0.5081</v>
      </c>
      <c r="AZ266">
        <v>0.66349999999999998</v>
      </c>
      <c r="BA266">
        <v>0.52790000000000004</v>
      </c>
      <c r="BB266" t="s">
        <v>86</v>
      </c>
      <c r="BC266">
        <v>0.66349999999999998</v>
      </c>
      <c r="BD266">
        <v>0.5081</v>
      </c>
      <c r="BE266">
        <v>0</v>
      </c>
      <c r="BF266">
        <v>0.1489</v>
      </c>
      <c r="BG266">
        <v>0.17100000000000001</v>
      </c>
      <c r="BH266">
        <v>0.1585</v>
      </c>
      <c r="BI266">
        <v>0.17100683</v>
      </c>
      <c r="BJ266">
        <v>0.1489</v>
      </c>
      <c r="BK266" t="s">
        <v>75</v>
      </c>
      <c r="BL266" t="s">
        <v>485</v>
      </c>
      <c r="BM266" t="s">
        <v>927</v>
      </c>
    </row>
    <row r="267" spans="1:65" x14ac:dyDescent="0.55000000000000004">
      <c r="A267" t="s">
        <v>985</v>
      </c>
      <c r="B267">
        <v>47</v>
      </c>
      <c r="C267">
        <v>1</v>
      </c>
      <c r="D267">
        <v>1</v>
      </c>
      <c r="E267">
        <v>3</v>
      </c>
      <c r="F267">
        <v>47.1</v>
      </c>
      <c r="G267" t="s">
        <v>990</v>
      </c>
      <c r="H267" t="s">
        <v>987</v>
      </c>
      <c r="I267" t="s">
        <v>988</v>
      </c>
      <c r="J267">
        <v>2021</v>
      </c>
      <c r="K267" t="s">
        <v>921</v>
      </c>
      <c r="L267" t="s">
        <v>500</v>
      </c>
      <c r="M267" t="s">
        <v>217</v>
      </c>
      <c r="N267" t="s">
        <v>100</v>
      </c>
      <c r="O267" t="s">
        <v>727</v>
      </c>
      <c r="P267" t="s">
        <v>185</v>
      </c>
      <c r="Q267" t="s">
        <v>162</v>
      </c>
      <c r="R267" t="s">
        <v>75</v>
      </c>
      <c r="S267" t="s">
        <v>75</v>
      </c>
      <c r="T267" t="s">
        <v>75</v>
      </c>
      <c r="U267" t="s">
        <v>76</v>
      </c>
      <c r="V267" t="s">
        <v>76</v>
      </c>
      <c r="W267" t="s">
        <v>75</v>
      </c>
      <c r="X267" t="s">
        <v>135</v>
      </c>
      <c r="Y267" t="s">
        <v>135</v>
      </c>
      <c r="Z267" t="s">
        <v>77</v>
      </c>
      <c r="AA267" t="s">
        <v>78</v>
      </c>
      <c r="AB267" t="s">
        <v>161</v>
      </c>
      <c r="AC267" t="s">
        <v>179</v>
      </c>
      <c r="AD267" t="s">
        <v>78</v>
      </c>
      <c r="AE267" t="s">
        <v>79</v>
      </c>
      <c r="AF267" t="s">
        <v>75</v>
      </c>
      <c r="AG267" t="s">
        <v>302</v>
      </c>
      <c r="AH267" t="s">
        <v>75</v>
      </c>
      <c r="AI267" t="s">
        <v>76</v>
      </c>
      <c r="AK267" t="s">
        <v>281</v>
      </c>
      <c r="AL267" t="s">
        <v>239</v>
      </c>
      <c r="AM267" t="s">
        <v>83</v>
      </c>
      <c r="AN267">
        <v>531</v>
      </c>
      <c r="AO267">
        <v>531</v>
      </c>
      <c r="AP267">
        <v>531</v>
      </c>
      <c r="AQ267" t="s">
        <v>84</v>
      </c>
      <c r="AR267" t="s">
        <v>84</v>
      </c>
      <c r="AS267" t="s">
        <v>85</v>
      </c>
      <c r="AT267" t="s">
        <v>75</v>
      </c>
      <c r="AU267" t="s">
        <v>76</v>
      </c>
      <c r="AV267">
        <v>0.52759999999999996</v>
      </c>
      <c r="AW267">
        <v>0.17050000000000001</v>
      </c>
      <c r="AX267">
        <v>0.50800000000000001</v>
      </c>
      <c r="AY267">
        <v>-0.52759999999999996</v>
      </c>
      <c r="AZ267">
        <v>-0.17050000000000001</v>
      </c>
      <c r="BA267">
        <v>-0.50800000000000001</v>
      </c>
      <c r="BB267" t="s">
        <v>86</v>
      </c>
      <c r="BC267">
        <v>-0.17050000000000001</v>
      </c>
      <c r="BD267">
        <v>-0.52759999999999996</v>
      </c>
      <c r="BE267">
        <v>0</v>
      </c>
      <c r="BF267">
        <v>0.25690000000000002</v>
      </c>
      <c r="BG267">
        <v>9.1499999999999998E-2</v>
      </c>
      <c r="BH267">
        <v>0.28100000000000003</v>
      </c>
      <c r="BI267">
        <v>9.1488394000000001E-2</v>
      </c>
      <c r="BJ267">
        <v>0.25690000000000002</v>
      </c>
      <c r="BK267" t="s">
        <v>75</v>
      </c>
      <c r="BL267" t="s">
        <v>483</v>
      </c>
      <c r="BM267" t="s">
        <v>927</v>
      </c>
    </row>
    <row r="268" spans="1:65" x14ac:dyDescent="0.55000000000000004">
      <c r="A268" t="s">
        <v>985</v>
      </c>
      <c r="B268">
        <v>47</v>
      </c>
      <c r="C268">
        <v>1</v>
      </c>
      <c r="D268">
        <v>1</v>
      </c>
      <c r="E268">
        <v>4</v>
      </c>
      <c r="F268">
        <v>47.1</v>
      </c>
      <c r="G268" t="s">
        <v>991</v>
      </c>
      <c r="H268" t="s">
        <v>987</v>
      </c>
      <c r="I268" t="s">
        <v>988</v>
      </c>
      <c r="J268">
        <v>2021</v>
      </c>
      <c r="K268" t="s">
        <v>921</v>
      </c>
      <c r="L268" t="s">
        <v>500</v>
      </c>
      <c r="M268" t="s">
        <v>217</v>
      </c>
      <c r="N268" t="s">
        <v>100</v>
      </c>
      <c r="O268" t="s">
        <v>727</v>
      </c>
      <c r="P268" t="s">
        <v>185</v>
      </c>
      <c r="Q268" t="s">
        <v>162</v>
      </c>
      <c r="R268" t="s">
        <v>75</v>
      </c>
      <c r="S268" t="s">
        <v>75</v>
      </c>
      <c r="T268" t="s">
        <v>75</v>
      </c>
      <c r="U268" t="s">
        <v>76</v>
      </c>
      <c r="V268" t="s">
        <v>76</v>
      </c>
      <c r="W268" t="s">
        <v>75</v>
      </c>
      <c r="X268" t="s">
        <v>135</v>
      </c>
      <c r="Y268" t="s">
        <v>135</v>
      </c>
      <c r="Z268" t="s">
        <v>77</v>
      </c>
      <c r="AA268" t="s">
        <v>78</v>
      </c>
      <c r="AB268" t="s">
        <v>161</v>
      </c>
      <c r="AC268" t="s">
        <v>179</v>
      </c>
      <c r="AD268" t="s">
        <v>78</v>
      </c>
      <c r="AE268" t="s">
        <v>79</v>
      </c>
      <c r="AF268" t="s">
        <v>75</v>
      </c>
      <c r="AG268" t="s">
        <v>302</v>
      </c>
      <c r="AH268" t="s">
        <v>75</v>
      </c>
      <c r="AI268" t="s">
        <v>76</v>
      </c>
      <c r="AK268" t="s">
        <v>278</v>
      </c>
      <c r="AL268" t="s">
        <v>239</v>
      </c>
      <c r="AM268" t="s">
        <v>83</v>
      </c>
      <c r="AN268">
        <v>531</v>
      </c>
      <c r="AO268">
        <v>531</v>
      </c>
      <c r="AP268">
        <v>531</v>
      </c>
      <c r="AQ268" t="s">
        <v>84</v>
      </c>
      <c r="AR268" t="s">
        <v>84</v>
      </c>
      <c r="AS268" t="s">
        <v>85</v>
      </c>
      <c r="AT268" t="s">
        <v>75</v>
      </c>
      <c r="AU268" t="s">
        <v>76</v>
      </c>
      <c r="AV268">
        <v>0.307</v>
      </c>
      <c r="AW268">
        <v>0.55840000000000001</v>
      </c>
      <c r="AX268">
        <v>0.30940000000000001</v>
      </c>
      <c r="AY268">
        <v>-0.307</v>
      </c>
      <c r="AZ268">
        <v>-0.55840000000000001</v>
      </c>
      <c r="BA268">
        <v>-0.30940000000000001</v>
      </c>
      <c r="BB268" t="s">
        <v>79</v>
      </c>
      <c r="BC268">
        <v>-0.307</v>
      </c>
      <c r="BD268">
        <v>-0.55840000000000001</v>
      </c>
      <c r="BE268">
        <v>0</v>
      </c>
      <c r="BF268">
        <v>0.21970000000000001</v>
      </c>
      <c r="BG268">
        <v>0.1278</v>
      </c>
      <c r="BH268">
        <v>0.21709999999999999</v>
      </c>
      <c r="BI268">
        <v>0.21970479100000001</v>
      </c>
      <c r="BJ268">
        <v>0.1278</v>
      </c>
      <c r="BK268" t="s">
        <v>75</v>
      </c>
      <c r="BL268" t="s">
        <v>485</v>
      </c>
      <c r="BM268" t="s">
        <v>927</v>
      </c>
    </row>
    <row r="269" spans="1:65" x14ac:dyDescent="0.55000000000000004">
      <c r="A269" t="s">
        <v>992</v>
      </c>
      <c r="B269">
        <v>70</v>
      </c>
      <c r="C269">
        <v>1</v>
      </c>
      <c r="D269">
        <v>1</v>
      </c>
      <c r="E269">
        <v>1</v>
      </c>
      <c r="F269">
        <v>70.099999999999994</v>
      </c>
      <c r="G269" t="s">
        <v>993</v>
      </c>
      <c r="H269" t="s">
        <v>994</v>
      </c>
      <c r="I269" t="s">
        <v>995</v>
      </c>
      <c r="J269">
        <v>2023</v>
      </c>
      <c r="K269" t="s">
        <v>921</v>
      </c>
      <c r="L269" t="s">
        <v>996</v>
      </c>
      <c r="M269" t="s">
        <v>108</v>
      </c>
      <c r="N269" t="s">
        <v>72</v>
      </c>
      <c r="O269" t="s">
        <v>143</v>
      </c>
      <c r="P269" t="s">
        <v>997</v>
      </c>
      <c r="Q269" t="s">
        <v>162</v>
      </c>
      <c r="R269" t="s">
        <v>76</v>
      </c>
      <c r="S269" t="s">
        <v>75</v>
      </c>
      <c r="T269" t="s">
        <v>75</v>
      </c>
      <c r="U269" t="s">
        <v>76</v>
      </c>
      <c r="V269" t="s">
        <v>76</v>
      </c>
      <c r="W269" t="s">
        <v>75</v>
      </c>
      <c r="X269" t="s">
        <v>111</v>
      </c>
      <c r="Y269" t="s">
        <v>111</v>
      </c>
      <c r="Z269" t="s">
        <v>77</v>
      </c>
      <c r="AA269" t="s">
        <v>78</v>
      </c>
      <c r="AB269" t="s">
        <v>161</v>
      </c>
      <c r="AC269" t="s">
        <v>113</v>
      </c>
      <c r="AD269" t="s">
        <v>78</v>
      </c>
      <c r="AE269" t="s">
        <v>79</v>
      </c>
      <c r="AF269" t="s">
        <v>75</v>
      </c>
      <c r="AG269" t="s">
        <v>839</v>
      </c>
      <c r="AH269" t="s">
        <v>75</v>
      </c>
      <c r="AI269" t="s">
        <v>75</v>
      </c>
      <c r="AK269" t="s">
        <v>998</v>
      </c>
      <c r="AL269" t="s">
        <v>115</v>
      </c>
      <c r="AM269" t="s">
        <v>116</v>
      </c>
      <c r="AN269">
        <v>1096</v>
      </c>
      <c r="AO269">
        <v>258</v>
      </c>
      <c r="AP269">
        <v>218</v>
      </c>
      <c r="AQ269" t="s">
        <v>84</v>
      </c>
      <c r="AR269" t="s">
        <v>84</v>
      </c>
      <c r="AS269" t="s">
        <v>85</v>
      </c>
      <c r="AT269" t="s">
        <v>75</v>
      </c>
      <c r="AU269" t="s">
        <v>76</v>
      </c>
      <c r="AV269">
        <v>0.56000000000000005</v>
      </c>
      <c r="AW269">
        <v>0.60299999999999998</v>
      </c>
      <c r="AX269">
        <v>0.622</v>
      </c>
      <c r="AY269">
        <v>0.56000000000000005</v>
      </c>
      <c r="AZ269">
        <v>0.60299999999999998</v>
      </c>
      <c r="BA269">
        <v>0.622</v>
      </c>
      <c r="BB269" t="s">
        <v>86</v>
      </c>
      <c r="BC269">
        <v>0.60299999999999998</v>
      </c>
      <c r="BD269">
        <v>0.56000000000000005</v>
      </c>
      <c r="BE269">
        <v>1</v>
      </c>
      <c r="BF269">
        <v>9.01E-2</v>
      </c>
      <c r="BG269">
        <v>2.2599999999999999E-2</v>
      </c>
      <c r="BH269">
        <v>4.5199999999999997E-2</v>
      </c>
      <c r="BI269">
        <v>2.2599999999999999E-2</v>
      </c>
      <c r="BJ269">
        <v>9.01E-2</v>
      </c>
      <c r="BK269" t="s">
        <v>75</v>
      </c>
      <c r="BL269" t="s">
        <v>999</v>
      </c>
    </row>
    <row r="270" spans="1:65" x14ac:dyDescent="0.55000000000000004">
      <c r="A270" t="s">
        <v>992</v>
      </c>
      <c r="B270">
        <v>70</v>
      </c>
      <c r="C270">
        <v>1</v>
      </c>
      <c r="D270">
        <v>1</v>
      </c>
      <c r="E270">
        <v>2</v>
      </c>
      <c r="F270">
        <v>70.099999999999994</v>
      </c>
      <c r="G270" t="s">
        <v>1000</v>
      </c>
      <c r="H270" t="s">
        <v>994</v>
      </c>
      <c r="I270" t="s">
        <v>995</v>
      </c>
      <c r="J270">
        <v>2023</v>
      </c>
      <c r="K270" t="s">
        <v>921</v>
      </c>
      <c r="L270" t="s">
        <v>996</v>
      </c>
      <c r="M270" t="s">
        <v>108</v>
      </c>
      <c r="N270" t="s">
        <v>72</v>
      </c>
      <c r="O270" t="s">
        <v>938</v>
      </c>
      <c r="P270" t="s">
        <v>997</v>
      </c>
      <c r="Q270" t="s">
        <v>162</v>
      </c>
      <c r="R270" t="s">
        <v>76</v>
      </c>
      <c r="S270" t="s">
        <v>75</v>
      </c>
      <c r="T270" t="s">
        <v>75</v>
      </c>
      <c r="U270" t="s">
        <v>76</v>
      </c>
      <c r="V270" t="s">
        <v>76</v>
      </c>
      <c r="W270" t="s">
        <v>75</v>
      </c>
      <c r="X270" t="s">
        <v>111</v>
      </c>
      <c r="Y270" t="s">
        <v>111</v>
      </c>
      <c r="Z270" t="s">
        <v>77</v>
      </c>
      <c r="AA270" t="s">
        <v>78</v>
      </c>
      <c r="AB270" t="s">
        <v>161</v>
      </c>
      <c r="AC270" t="s">
        <v>113</v>
      </c>
      <c r="AD270" t="s">
        <v>78</v>
      </c>
      <c r="AE270" t="s">
        <v>79</v>
      </c>
      <c r="AF270" t="s">
        <v>75</v>
      </c>
      <c r="AG270" t="s">
        <v>839</v>
      </c>
      <c r="AH270" t="s">
        <v>75</v>
      </c>
      <c r="AI270" t="s">
        <v>75</v>
      </c>
      <c r="AK270" t="s">
        <v>1001</v>
      </c>
      <c r="AL270" t="s">
        <v>115</v>
      </c>
      <c r="AM270" t="s">
        <v>116</v>
      </c>
      <c r="AN270">
        <v>1096</v>
      </c>
      <c r="AO270">
        <v>258</v>
      </c>
      <c r="AP270">
        <v>218</v>
      </c>
      <c r="AQ270" t="s">
        <v>84</v>
      </c>
      <c r="AR270" t="s">
        <v>84</v>
      </c>
      <c r="AS270" t="s">
        <v>85</v>
      </c>
      <c r="AT270" t="s">
        <v>75</v>
      </c>
      <c r="AU270" t="s">
        <v>76</v>
      </c>
      <c r="AV270">
        <v>0.71899999999999997</v>
      </c>
      <c r="AW270">
        <v>0.80100000000000005</v>
      </c>
      <c r="AX270">
        <v>0.78100000000000003</v>
      </c>
      <c r="AY270">
        <v>0.71899999999999997</v>
      </c>
      <c r="AZ270">
        <v>0.80100000000000005</v>
      </c>
      <c r="BA270">
        <v>0.78100000000000003</v>
      </c>
      <c r="BB270" t="s">
        <v>86</v>
      </c>
      <c r="BC270">
        <v>0.80100000000000005</v>
      </c>
      <c r="BD270">
        <v>0.71899999999999997</v>
      </c>
      <c r="BE270">
        <v>0</v>
      </c>
      <c r="BF270">
        <v>6.5600000000000006E-2</v>
      </c>
      <c r="BG270">
        <v>2.2599999999999999E-2</v>
      </c>
      <c r="BH270">
        <v>3.7699999999999997E-2</v>
      </c>
      <c r="BI270">
        <v>2.2599999999999999E-2</v>
      </c>
      <c r="BJ270">
        <v>6.5600000000000006E-2</v>
      </c>
      <c r="BK270" t="s">
        <v>75</v>
      </c>
      <c r="BL270" t="s">
        <v>1002</v>
      </c>
    </row>
    <row r="271" spans="1:65" x14ac:dyDescent="0.55000000000000004">
      <c r="A271" t="s">
        <v>992</v>
      </c>
      <c r="B271">
        <v>70</v>
      </c>
      <c r="C271">
        <v>1</v>
      </c>
      <c r="D271">
        <v>2</v>
      </c>
      <c r="E271">
        <v>1</v>
      </c>
      <c r="F271">
        <v>70.099999999999994</v>
      </c>
      <c r="G271" t="s">
        <v>1003</v>
      </c>
      <c r="H271" t="s">
        <v>994</v>
      </c>
      <c r="I271" t="s">
        <v>995</v>
      </c>
      <c r="J271">
        <v>2023</v>
      </c>
      <c r="K271" t="s">
        <v>921</v>
      </c>
      <c r="L271" t="s">
        <v>996</v>
      </c>
      <c r="M271" t="s">
        <v>108</v>
      </c>
      <c r="N271" t="s">
        <v>72</v>
      </c>
      <c r="O271" t="s">
        <v>938</v>
      </c>
      <c r="P271" t="s">
        <v>997</v>
      </c>
      <c r="Q271" t="s">
        <v>162</v>
      </c>
      <c r="R271" t="s">
        <v>76</v>
      </c>
      <c r="S271" t="s">
        <v>75</v>
      </c>
      <c r="T271" t="s">
        <v>75</v>
      </c>
      <c r="U271" t="s">
        <v>76</v>
      </c>
      <c r="V271" t="s">
        <v>76</v>
      </c>
      <c r="W271" t="s">
        <v>75</v>
      </c>
      <c r="X271" t="s">
        <v>111</v>
      </c>
      <c r="Y271" t="s">
        <v>111</v>
      </c>
      <c r="Z271" t="s">
        <v>77</v>
      </c>
      <c r="AA271" t="s">
        <v>78</v>
      </c>
      <c r="AB271" t="s">
        <v>161</v>
      </c>
      <c r="AC271" t="s">
        <v>113</v>
      </c>
      <c r="AD271" t="s">
        <v>78</v>
      </c>
      <c r="AE271" t="s">
        <v>79</v>
      </c>
      <c r="AF271" t="s">
        <v>75</v>
      </c>
      <c r="AG271" t="s">
        <v>847</v>
      </c>
      <c r="AH271" t="s">
        <v>75</v>
      </c>
      <c r="AI271" t="s">
        <v>75</v>
      </c>
      <c r="AK271" t="s">
        <v>998</v>
      </c>
      <c r="AL271" t="s">
        <v>115</v>
      </c>
      <c r="AM271" t="s">
        <v>116</v>
      </c>
      <c r="AN271">
        <v>1096</v>
      </c>
      <c r="AO271">
        <v>258</v>
      </c>
      <c r="AP271">
        <v>200</v>
      </c>
      <c r="AQ271" t="s">
        <v>84</v>
      </c>
      <c r="AR271" t="s">
        <v>84</v>
      </c>
      <c r="AS271" t="s">
        <v>85</v>
      </c>
      <c r="AT271" t="s">
        <v>75</v>
      </c>
      <c r="AU271" t="s">
        <v>76</v>
      </c>
      <c r="AV271">
        <v>0.56000000000000005</v>
      </c>
      <c r="AW271">
        <v>0.60199999999999998</v>
      </c>
      <c r="AX271">
        <v>0.57799999999999996</v>
      </c>
      <c r="AY271">
        <v>0.56000000000000005</v>
      </c>
      <c r="AZ271">
        <v>0.60199999999999998</v>
      </c>
      <c r="BA271">
        <v>0.57799999999999996</v>
      </c>
      <c r="BB271" t="s">
        <v>86</v>
      </c>
      <c r="BC271">
        <v>0.60199999999999998</v>
      </c>
      <c r="BD271">
        <v>0.56000000000000005</v>
      </c>
      <c r="BE271">
        <v>0</v>
      </c>
      <c r="BF271">
        <v>9.01E-2</v>
      </c>
      <c r="BG271">
        <v>2.8899999999999999E-2</v>
      </c>
      <c r="BH271">
        <v>6.4899999999999999E-2</v>
      </c>
      <c r="BI271">
        <v>2.8899999999999999E-2</v>
      </c>
      <c r="BJ271">
        <v>9.01E-2</v>
      </c>
      <c r="BK271" t="s">
        <v>75</v>
      </c>
      <c r="BL271" t="s">
        <v>1004</v>
      </c>
    </row>
    <row r="272" spans="1:65" x14ac:dyDescent="0.55000000000000004">
      <c r="A272" t="s">
        <v>992</v>
      </c>
      <c r="B272">
        <v>70</v>
      </c>
      <c r="C272">
        <v>1</v>
      </c>
      <c r="D272">
        <v>2</v>
      </c>
      <c r="E272">
        <v>2</v>
      </c>
      <c r="F272">
        <v>70.099999999999994</v>
      </c>
      <c r="G272" t="s">
        <v>1005</v>
      </c>
      <c r="H272" t="s">
        <v>994</v>
      </c>
      <c r="I272" t="s">
        <v>995</v>
      </c>
      <c r="J272">
        <v>2023</v>
      </c>
      <c r="K272" t="s">
        <v>921</v>
      </c>
      <c r="L272" t="s">
        <v>996</v>
      </c>
      <c r="M272" t="s">
        <v>108</v>
      </c>
      <c r="N272" t="s">
        <v>72</v>
      </c>
      <c r="O272" t="s">
        <v>938</v>
      </c>
      <c r="P272" t="s">
        <v>997</v>
      </c>
      <c r="Q272" t="s">
        <v>162</v>
      </c>
      <c r="R272" t="s">
        <v>76</v>
      </c>
      <c r="S272" t="s">
        <v>75</v>
      </c>
      <c r="T272" t="s">
        <v>75</v>
      </c>
      <c r="U272" t="s">
        <v>76</v>
      </c>
      <c r="V272" t="s">
        <v>76</v>
      </c>
      <c r="W272" t="s">
        <v>75</v>
      </c>
      <c r="X272" t="s">
        <v>111</v>
      </c>
      <c r="Y272" t="s">
        <v>111</v>
      </c>
      <c r="Z272" t="s">
        <v>77</v>
      </c>
      <c r="AA272" t="s">
        <v>78</v>
      </c>
      <c r="AB272" t="s">
        <v>161</v>
      </c>
      <c r="AC272" t="s">
        <v>113</v>
      </c>
      <c r="AD272" t="s">
        <v>78</v>
      </c>
      <c r="AE272" t="s">
        <v>79</v>
      </c>
      <c r="AF272" t="s">
        <v>75</v>
      </c>
      <c r="AG272" t="s">
        <v>847</v>
      </c>
      <c r="AH272" t="s">
        <v>75</v>
      </c>
      <c r="AI272" t="s">
        <v>75</v>
      </c>
      <c r="AK272" t="s">
        <v>1001</v>
      </c>
      <c r="AL272" t="s">
        <v>115</v>
      </c>
      <c r="AM272" t="s">
        <v>116</v>
      </c>
      <c r="AN272">
        <v>1096</v>
      </c>
      <c r="AO272">
        <v>258</v>
      </c>
      <c r="AP272">
        <v>200</v>
      </c>
      <c r="AQ272" t="s">
        <v>84</v>
      </c>
      <c r="AR272" t="s">
        <v>84</v>
      </c>
      <c r="AS272" t="s">
        <v>85</v>
      </c>
      <c r="AT272" t="s">
        <v>75</v>
      </c>
      <c r="AU272" t="s">
        <v>76</v>
      </c>
      <c r="AV272">
        <v>0.71899999999999997</v>
      </c>
      <c r="AW272">
        <v>0.8</v>
      </c>
      <c r="AX272">
        <v>0.755</v>
      </c>
      <c r="AY272">
        <v>0.71899999999999997</v>
      </c>
      <c r="AZ272">
        <v>0.8</v>
      </c>
      <c r="BA272">
        <v>0.755</v>
      </c>
      <c r="BB272" t="s">
        <v>86</v>
      </c>
      <c r="BC272">
        <v>0.8</v>
      </c>
      <c r="BD272">
        <v>0.71899999999999997</v>
      </c>
      <c r="BE272">
        <v>0</v>
      </c>
      <c r="BF272">
        <v>6.5600000000000006E-2</v>
      </c>
      <c r="BG272">
        <v>2.1600000000000001E-2</v>
      </c>
      <c r="BH272">
        <v>5.0500000000000003E-2</v>
      </c>
      <c r="BI272">
        <v>2.1600000000000001E-2</v>
      </c>
      <c r="BJ272">
        <v>6.5600000000000006E-2</v>
      </c>
      <c r="BK272" t="s">
        <v>75</v>
      </c>
      <c r="BL272" t="s">
        <v>1006</v>
      </c>
    </row>
    <row r="273" spans="1:64" x14ac:dyDescent="0.55000000000000004">
      <c r="A273" t="s">
        <v>992</v>
      </c>
      <c r="B273">
        <v>70</v>
      </c>
      <c r="C273">
        <v>1</v>
      </c>
      <c r="D273">
        <v>3</v>
      </c>
      <c r="E273">
        <v>1</v>
      </c>
      <c r="F273">
        <v>70.099999999999994</v>
      </c>
      <c r="G273" t="s">
        <v>1007</v>
      </c>
      <c r="H273" t="s">
        <v>994</v>
      </c>
      <c r="I273" t="s">
        <v>995</v>
      </c>
      <c r="J273">
        <v>2023</v>
      </c>
      <c r="K273" t="s">
        <v>921</v>
      </c>
      <c r="L273" t="s">
        <v>996</v>
      </c>
      <c r="M273" t="s">
        <v>108</v>
      </c>
      <c r="N273" t="s">
        <v>72</v>
      </c>
      <c r="O273" t="s">
        <v>938</v>
      </c>
      <c r="P273" t="s">
        <v>997</v>
      </c>
      <c r="Q273" t="s">
        <v>162</v>
      </c>
      <c r="R273" t="s">
        <v>76</v>
      </c>
      <c r="S273" t="s">
        <v>75</v>
      </c>
      <c r="T273" t="s">
        <v>75</v>
      </c>
      <c r="U273" t="s">
        <v>76</v>
      </c>
      <c r="V273" t="s">
        <v>76</v>
      </c>
      <c r="W273" t="s">
        <v>75</v>
      </c>
      <c r="X273" t="s">
        <v>111</v>
      </c>
      <c r="Y273" t="s">
        <v>111</v>
      </c>
      <c r="Z273" t="s">
        <v>77</v>
      </c>
      <c r="AA273" t="s">
        <v>78</v>
      </c>
      <c r="AB273" t="s">
        <v>161</v>
      </c>
      <c r="AC273" t="s">
        <v>113</v>
      </c>
      <c r="AD273" t="s">
        <v>78</v>
      </c>
      <c r="AE273" t="s">
        <v>79</v>
      </c>
      <c r="AF273" t="s">
        <v>75</v>
      </c>
      <c r="AG273" t="s">
        <v>849</v>
      </c>
      <c r="AH273" t="s">
        <v>75</v>
      </c>
      <c r="AI273" t="s">
        <v>75</v>
      </c>
      <c r="AK273" t="s">
        <v>998</v>
      </c>
      <c r="AL273" t="s">
        <v>115</v>
      </c>
      <c r="AM273" t="s">
        <v>116</v>
      </c>
      <c r="AN273">
        <v>1096</v>
      </c>
      <c r="AO273">
        <v>258</v>
      </c>
      <c r="AP273">
        <v>200</v>
      </c>
      <c r="AQ273" t="s">
        <v>84</v>
      </c>
      <c r="AR273" t="s">
        <v>84</v>
      </c>
      <c r="AS273" t="s">
        <v>85</v>
      </c>
      <c r="AT273" t="s">
        <v>75</v>
      </c>
      <c r="AU273" t="s">
        <v>76</v>
      </c>
      <c r="AV273">
        <v>0.56000000000000005</v>
      </c>
      <c r="AW273">
        <v>0.60399999999999998</v>
      </c>
      <c r="AX273">
        <v>0.65300000000000002</v>
      </c>
      <c r="AY273">
        <v>0.56000000000000005</v>
      </c>
      <c r="AZ273">
        <v>0.60399999999999998</v>
      </c>
      <c r="BA273">
        <v>0.65300000000000002</v>
      </c>
      <c r="BB273" t="s">
        <v>86</v>
      </c>
      <c r="BC273">
        <v>0.60399999999999998</v>
      </c>
      <c r="BD273">
        <v>0.56000000000000005</v>
      </c>
      <c r="BE273">
        <v>1</v>
      </c>
      <c r="BF273">
        <v>9.01E-2</v>
      </c>
      <c r="BG273">
        <v>2.8899999999999999E-2</v>
      </c>
      <c r="BH273">
        <v>5.0500000000000003E-2</v>
      </c>
      <c r="BI273">
        <v>2.8899999999999999E-2</v>
      </c>
      <c r="BJ273">
        <v>9.01E-2</v>
      </c>
      <c r="BK273" t="s">
        <v>75</v>
      </c>
      <c r="BL273" t="s">
        <v>1008</v>
      </c>
    </row>
    <row r="274" spans="1:64" x14ac:dyDescent="0.55000000000000004">
      <c r="A274" t="s">
        <v>992</v>
      </c>
      <c r="B274">
        <v>70</v>
      </c>
      <c r="C274">
        <v>1</v>
      </c>
      <c r="D274">
        <v>3</v>
      </c>
      <c r="E274">
        <v>2</v>
      </c>
      <c r="F274">
        <v>70.099999999999994</v>
      </c>
      <c r="G274" t="s">
        <v>1009</v>
      </c>
      <c r="H274" t="s">
        <v>994</v>
      </c>
      <c r="I274" t="s">
        <v>995</v>
      </c>
      <c r="J274">
        <v>2023</v>
      </c>
      <c r="K274" t="s">
        <v>921</v>
      </c>
      <c r="L274" t="s">
        <v>996</v>
      </c>
      <c r="M274" t="s">
        <v>108</v>
      </c>
      <c r="N274" t="s">
        <v>72</v>
      </c>
      <c r="O274" t="s">
        <v>938</v>
      </c>
      <c r="P274" t="s">
        <v>997</v>
      </c>
      <c r="Q274" t="s">
        <v>162</v>
      </c>
      <c r="R274" t="s">
        <v>76</v>
      </c>
      <c r="S274" t="s">
        <v>75</v>
      </c>
      <c r="T274" t="s">
        <v>75</v>
      </c>
      <c r="U274" t="s">
        <v>76</v>
      </c>
      <c r="V274" t="s">
        <v>76</v>
      </c>
      <c r="W274" t="s">
        <v>75</v>
      </c>
      <c r="X274" t="s">
        <v>111</v>
      </c>
      <c r="Y274" t="s">
        <v>111</v>
      </c>
      <c r="Z274" t="s">
        <v>77</v>
      </c>
      <c r="AA274" t="s">
        <v>78</v>
      </c>
      <c r="AB274" t="s">
        <v>161</v>
      </c>
      <c r="AC274" t="s">
        <v>113</v>
      </c>
      <c r="AD274" t="s">
        <v>78</v>
      </c>
      <c r="AE274" t="s">
        <v>79</v>
      </c>
      <c r="AF274" t="s">
        <v>75</v>
      </c>
      <c r="AG274" t="s">
        <v>849</v>
      </c>
      <c r="AH274" t="s">
        <v>75</v>
      </c>
      <c r="AI274" t="s">
        <v>75</v>
      </c>
      <c r="AK274" t="s">
        <v>1001</v>
      </c>
      <c r="AL274" t="s">
        <v>115</v>
      </c>
      <c r="AM274" t="s">
        <v>116</v>
      </c>
      <c r="AN274">
        <v>1096</v>
      </c>
      <c r="AO274">
        <v>258</v>
      </c>
      <c r="AP274">
        <v>200</v>
      </c>
      <c r="AQ274" t="s">
        <v>84</v>
      </c>
      <c r="AR274" t="s">
        <v>84</v>
      </c>
      <c r="AS274" t="s">
        <v>85</v>
      </c>
      <c r="AT274" t="s">
        <v>75</v>
      </c>
      <c r="AU274" t="s">
        <v>76</v>
      </c>
      <c r="AV274">
        <v>0.71899999999999997</v>
      </c>
      <c r="AW274">
        <v>0.80300000000000005</v>
      </c>
      <c r="AX274">
        <v>0.82499999999999996</v>
      </c>
      <c r="AY274">
        <v>0.71899999999999997</v>
      </c>
      <c r="AZ274">
        <v>0.80300000000000005</v>
      </c>
      <c r="BA274">
        <v>0.82499999999999996</v>
      </c>
      <c r="BB274" t="s">
        <v>86</v>
      </c>
      <c r="BC274">
        <v>0.80300000000000005</v>
      </c>
      <c r="BD274">
        <v>0.71899999999999997</v>
      </c>
      <c r="BE274">
        <v>1</v>
      </c>
      <c r="BF274">
        <v>6.5600000000000006E-2</v>
      </c>
      <c r="BG274">
        <v>2.1600000000000001E-2</v>
      </c>
      <c r="BH274">
        <v>4.3299999999999998E-2</v>
      </c>
      <c r="BI274">
        <v>2.1600000000000001E-2</v>
      </c>
      <c r="BJ274">
        <v>6.5600000000000006E-2</v>
      </c>
      <c r="BK274" t="s">
        <v>75</v>
      </c>
      <c r="BL274" t="s">
        <v>1010</v>
      </c>
    </row>
    <row r="275" spans="1:64" x14ac:dyDescent="0.55000000000000004">
      <c r="A275" t="s">
        <v>992</v>
      </c>
      <c r="B275">
        <v>70</v>
      </c>
      <c r="C275">
        <v>1</v>
      </c>
      <c r="D275">
        <v>4</v>
      </c>
      <c r="E275">
        <v>1</v>
      </c>
      <c r="F275">
        <v>70.099999999999994</v>
      </c>
      <c r="G275" t="s">
        <v>1011</v>
      </c>
      <c r="H275" t="s">
        <v>994</v>
      </c>
      <c r="I275" t="s">
        <v>995</v>
      </c>
      <c r="J275">
        <v>2023</v>
      </c>
      <c r="K275" t="s">
        <v>921</v>
      </c>
      <c r="L275" t="s">
        <v>996</v>
      </c>
      <c r="M275" t="s">
        <v>108</v>
      </c>
      <c r="N275" t="s">
        <v>72</v>
      </c>
      <c r="O275" t="s">
        <v>938</v>
      </c>
      <c r="P275" t="s">
        <v>997</v>
      </c>
      <c r="Q275" t="s">
        <v>162</v>
      </c>
      <c r="R275" t="s">
        <v>76</v>
      </c>
      <c r="S275" t="s">
        <v>75</v>
      </c>
      <c r="T275" t="s">
        <v>75</v>
      </c>
      <c r="U275" t="s">
        <v>76</v>
      </c>
      <c r="V275" t="s">
        <v>76</v>
      </c>
      <c r="W275" t="s">
        <v>75</v>
      </c>
      <c r="X275" t="s">
        <v>111</v>
      </c>
      <c r="Y275" t="s">
        <v>111</v>
      </c>
      <c r="Z275" t="s">
        <v>77</v>
      </c>
      <c r="AA275" t="s">
        <v>78</v>
      </c>
      <c r="AB275" t="s">
        <v>161</v>
      </c>
      <c r="AC275" t="s">
        <v>113</v>
      </c>
      <c r="AD275" t="s">
        <v>78</v>
      </c>
      <c r="AE275" t="s">
        <v>79</v>
      </c>
      <c r="AF275" t="s">
        <v>75</v>
      </c>
      <c r="AG275" t="s">
        <v>856</v>
      </c>
      <c r="AH275" t="s">
        <v>75</v>
      </c>
      <c r="AI275" t="s">
        <v>75</v>
      </c>
      <c r="AK275" t="s">
        <v>998</v>
      </c>
      <c r="AL275" t="s">
        <v>115</v>
      </c>
      <c r="AM275" t="s">
        <v>116</v>
      </c>
      <c r="AN275">
        <v>1096</v>
      </c>
      <c r="AO275">
        <v>258</v>
      </c>
      <c r="AP275">
        <v>220</v>
      </c>
      <c r="AQ275" t="s">
        <v>84</v>
      </c>
      <c r="AR275" t="s">
        <v>84</v>
      </c>
      <c r="AS275" t="s">
        <v>85</v>
      </c>
      <c r="AT275" t="s">
        <v>75</v>
      </c>
      <c r="AU275" t="s">
        <v>76</v>
      </c>
      <c r="AV275">
        <v>0.56000000000000005</v>
      </c>
      <c r="AW275">
        <v>0.60299999999999998</v>
      </c>
      <c r="AX275">
        <v>0.57799999999999996</v>
      </c>
      <c r="AY275">
        <v>0.56000000000000005</v>
      </c>
      <c r="AZ275">
        <v>0.60299999999999998</v>
      </c>
      <c r="BA275">
        <v>0.57799999999999996</v>
      </c>
      <c r="BB275" t="s">
        <v>86</v>
      </c>
      <c r="BC275">
        <v>0.60299999999999998</v>
      </c>
      <c r="BD275">
        <v>0.56000000000000005</v>
      </c>
      <c r="BE275">
        <v>0</v>
      </c>
      <c r="BF275">
        <v>9.01E-2</v>
      </c>
      <c r="BG275">
        <v>2.2700000000000001E-2</v>
      </c>
      <c r="BH275">
        <v>6.0499999999999998E-2</v>
      </c>
      <c r="BI275">
        <v>2.2700000000000001E-2</v>
      </c>
      <c r="BJ275">
        <v>9.01E-2</v>
      </c>
      <c r="BK275" t="s">
        <v>75</v>
      </c>
      <c r="BL275" t="s">
        <v>1012</v>
      </c>
    </row>
    <row r="276" spans="1:64" x14ac:dyDescent="0.55000000000000004">
      <c r="A276" t="s">
        <v>992</v>
      </c>
      <c r="B276">
        <v>70</v>
      </c>
      <c r="C276">
        <v>1</v>
      </c>
      <c r="D276">
        <v>4</v>
      </c>
      <c r="E276">
        <v>2</v>
      </c>
      <c r="F276">
        <v>70.099999999999994</v>
      </c>
      <c r="G276" t="s">
        <v>1013</v>
      </c>
      <c r="H276" t="s">
        <v>994</v>
      </c>
      <c r="I276" t="s">
        <v>995</v>
      </c>
      <c r="J276">
        <v>2023</v>
      </c>
      <c r="K276" t="s">
        <v>921</v>
      </c>
      <c r="L276" t="s">
        <v>996</v>
      </c>
      <c r="M276" t="s">
        <v>108</v>
      </c>
      <c r="N276" t="s">
        <v>72</v>
      </c>
      <c r="O276" t="s">
        <v>938</v>
      </c>
      <c r="P276" t="s">
        <v>997</v>
      </c>
      <c r="Q276" t="s">
        <v>162</v>
      </c>
      <c r="R276" t="s">
        <v>76</v>
      </c>
      <c r="S276" t="s">
        <v>75</v>
      </c>
      <c r="T276" t="s">
        <v>75</v>
      </c>
      <c r="U276" t="s">
        <v>76</v>
      </c>
      <c r="V276" t="s">
        <v>76</v>
      </c>
      <c r="W276" t="s">
        <v>75</v>
      </c>
      <c r="X276" t="s">
        <v>111</v>
      </c>
      <c r="Y276" t="s">
        <v>111</v>
      </c>
      <c r="Z276" t="s">
        <v>77</v>
      </c>
      <c r="AA276" t="s">
        <v>78</v>
      </c>
      <c r="AB276" t="s">
        <v>161</v>
      </c>
      <c r="AC276" t="s">
        <v>113</v>
      </c>
      <c r="AD276" t="s">
        <v>78</v>
      </c>
      <c r="AE276" t="s">
        <v>79</v>
      </c>
      <c r="AF276" t="s">
        <v>75</v>
      </c>
      <c r="AG276" t="s">
        <v>856</v>
      </c>
      <c r="AH276" t="s">
        <v>75</v>
      </c>
      <c r="AI276" t="s">
        <v>75</v>
      </c>
      <c r="AK276" t="s">
        <v>1001</v>
      </c>
      <c r="AL276" t="s">
        <v>115</v>
      </c>
      <c r="AM276" t="s">
        <v>116</v>
      </c>
      <c r="AN276">
        <v>1096</v>
      </c>
      <c r="AO276">
        <v>258</v>
      </c>
      <c r="AP276">
        <v>220</v>
      </c>
      <c r="AQ276" t="s">
        <v>84</v>
      </c>
      <c r="AR276" t="s">
        <v>84</v>
      </c>
      <c r="AS276" t="s">
        <v>85</v>
      </c>
      <c r="AT276" t="s">
        <v>75</v>
      </c>
      <c r="AU276" t="s">
        <v>76</v>
      </c>
      <c r="AV276">
        <v>0.71899999999999997</v>
      </c>
      <c r="AW276">
        <v>0.80200000000000005</v>
      </c>
      <c r="AX276">
        <v>0.77</v>
      </c>
      <c r="AY276">
        <v>0.71899999999999997</v>
      </c>
      <c r="AZ276">
        <v>0.80200000000000005</v>
      </c>
      <c r="BA276">
        <v>0.77</v>
      </c>
      <c r="BB276" t="s">
        <v>86</v>
      </c>
      <c r="BC276">
        <v>0.80200000000000005</v>
      </c>
      <c r="BD276">
        <v>0.71899999999999997</v>
      </c>
      <c r="BE276">
        <v>0</v>
      </c>
      <c r="BF276">
        <v>6.5600000000000006E-2</v>
      </c>
      <c r="BG276">
        <v>2.2700000000000001E-2</v>
      </c>
      <c r="BH276">
        <v>5.2999999999999999E-2</v>
      </c>
      <c r="BI276">
        <v>2.2700000000000001E-2</v>
      </c>
      <c r="BJ276">
        <v>6.5600000000000006E-2</v>
      </c>
      <c r="BK276" t="s">
        <v>75</v>
      </c>
      <c r="BL276" t="s">
        <v>1014</v>
      </c>
    </row>
    <row r="277" spans="1:64" x14ac:dyDescent="0.55000000000000004">
      <c r="A277" t="s">
        <v>1015</v>
      </c>
      <c r="B277">
        <v>76</v>
      </c>
      <c r="C277">
        <v>1</v>
      </c>
      <c r="D277">
        <v>1</v>
      </c>
      <c r="E277">
        <v>1</v>
      </c>
      <c r="F277">
        <v>76.099999999999994</v>
      </c>
      <c r="G277" t="s">
        <v>1016</v>
      </c>
      <c r="H277" t="s">
        <v>1017</v>
      </c>
      <c r="I277" t="s">
        <v>1018</v>
      </c>
      <c r="J277">
        <v>2021</v>
      </c>
      <c r="K277" t="s">
        <v>921</v>
      </c>
      <c r="L277" t="s">
        <v>1019</v>
      </c>
      <c r="M277" t="s">
        <v>217</v>
      </c>
      <c r="N277" t="s">
        <v>100</v>
      </c>
      <c r="O277" t="s">
        <v>1020</v>
      </c>
      <c r="P277" t="s">
        <v>134</v>
      </c>
      <c r="Q277" t="s">
        <v>134</v>
      </c>
      <c r="R277" t="s">
        <v>75</v>
      </c>
      <c r="S277" t="s">
        <v>75</v>
      </c>
      <c r="T277" t="s">
        <v>76</v>
      </c>
      <c r="U277" t="s">
        <v>75</v>
      </c>
      <c r="V277" t="s">
        <v>75</v>
      </c>
      <c r="W277" t="s">
        <v>75</v>
      </c>
      <c r="X277" t="s">
        <v>135</v>
      </c>
      <c r="Y277" t="s">
        <v>135</v>
      </c>
      <c r="Z277" t="s">
        <v>77</v>
      </c>
      <c r="AA277" t="s">
        <v>235</v>
      </c>
      <c r="AB277" t="s">
        <v>134</v>
      </c>
      <c r="AC277" t="s">
        <v>135</v>
      </c>
      <c r="AD277" t="s">
        <v>235</v>
      </c>
      <c r="AE277" t="s">
        <v>79</v>
      </c>
      <c r="AF277" t="s">
        <v>75</v>
      </c>
      <c r="AG277" t="s">
        <v>1021</v>
      </c>
      <c r="AH277" t="s">
        <v>75</v>
      </c>
      <c r="AI277" t="s">
        <v>75</v>
      </c>
      <c r="AK277" t="s">
        <v>115</v>
      </c>
      <c r="AL277" t="s">
        <v>115</v>
      </c>
      <c r="AM277" t="s">
        <v>116</v>
      </c>
      <c r="AN277">
        <v>40</v>
      </c>
      <c r="AO277">
        <v>40</v>
      </c>
      <c r="AP277">
        <v>40</v>
      </c>
      <c r="AQ277" t="s">
        <v>895</v>
      </c>
      <c r="AR277" t="s">
        <v>895</v>
      </c>
      <c r="AS277" t="s">
        <v>896</v>
      </c>
      <c r="AT277" t="s">
        <v>75</v>
      </c>
      <c r="AU277" t="s">
        <v>75</v>
      </c>
      <c r="AV277">
        <v>0.69</v>
      </c>
      <c r="AW277">
        <v>0.93</v>
      </c>
      <c r="AX277">
        <v>0.83</v>
      </c>
      <c r="AY277">
        <v>0.69</v>
      </c>
      <c r="AZ277">
        <v>0.93</v>
      </c>
      <c r="BA277">
        <v>0.83</v>
      </c>
      <c r="BB277" t="s">
        <v>86</v>
      </c>
      <c r="BC277">
        <v>0.93</v>
      </c>
      <c r="BD277">
        <v>0.69</v>
      </c>
      <c r="BE277">
        <v>0</v>
      </c>
      <c r="BF277">
        <v>0.1</v>
      </c>
      <c r="BG277">
        <v>0</v>
      </c>
      <c r="BH277">
        <v>0.08</v>
      </c>
      <c r="BI277">
        <v>0</v>
      </c>
      <c r="BJ277">
        <v>0.1</v>
      </c>
      <c r="BK277" t="s">
        <v>75</v>
      </c>
      <c r="BL277" t="s">
        <v>1022</v>
      </c>
    </row>
    <row r="278" spans="1:64" x14ac:dyDescent="0.55000000000000004">
      <c r="A278" t="s">
        <v>1015</v>
      </c>
      <c r="B278">
        <v>76</v>
      </c>
      <c r="C278">
        <v>2</v>
      </c>
      <c r="D278">
        <v>1</v>
      </c>
      <c r="E278">
        <v>1</v>
      </c>
      <c r="F278">
        <v>76.2</v>
      </c>
      <c r="G278" t="s">
        <v>1023</v>
      </c>
      <c r="H278" t="s">
        <v>1017</v>
      </c>
      <c r="I278" t="s">
        <v>1018</v>
      </c>
      <c r="J278">
        <v>2021</v>
      </c>
      <c r="K278" t="s">
        <v>921</v>
      </c>
      <c r="L278" t="s">
        <v>1019</v>
      </c>
      <c r="M278" t="s">
        <v>217</v>
      </c>
      <c r="N278" t="s">
        <v>100</v>
      </c>
      <c r="O278" t="s">
        <v>1020</v>
      </c>
      <c r="P278" t="s">
        <v>134</v>
      </c>
      <c r="Q278" t="s">
        <v>134</v>
      </c>
      <c r="R278" t="s">
        <v>75</v>
      </c>
      <c r="S278" t="s">
        <v>75</v>
      </c>
      <c r="T278" t="s">
        <v>76</v>
      </c>
      <c r="U278" t="s">
        <v>75</v>
      </c>
      <c r="V278" t="s">
        <v>75</v>
      </c>
      <c r="W278" t="s">
        <v>75</v>
      </c>
      <c r="X278" t="s">
        <v>135</v>
      </c>
      <c r="Y278" t="s">
        <v>135</v>
      </c>
      <c r="Z278" t="s">
        <v>77</v>
      </c>
      <c r="AA278" t="s">
        <v>235</v>
      </c>
      <c r="AB278" t="s">
        <v>134</v>
      </c>
      <c r="AC278" t="s">
        <v>135</v>
      </c>
      <c r="AD278" t="s">
        <v>235</v>
      </c>
      <c r="AE278" t="s">
        <v>79</v>
      </c>
      <c r="AF278" t="s">
        <v>75</v>
      </c>
      <c r="AG278" t="s">
        <v>1024</v>
      </c>
      <c r="AH278" t="s">
        <v>75</v>
      </c>
      <c r="AI278" t="s">
        <v>75</v>
      </c>
      <c r="AK278" t="s">
        <v>115</v>
      </c>
      <c r="AL278" t="s">
        <v>115</v>
      </c>
      <c r="AM278" t="s">
        <v>116</v>
      </c>
      <c r="AN278">
        <v>40</v>
      </c>
      <c r="AO278">
        <v>40</v>
      </c>
      <c r="AP278">
        <v>40</v>
      </c>
      <c r="AQ278" t="s">
        <v>895</v>
      </c>
      <c r="AR278" t="s">
        <v>895</v>
      </c>
      <c r="AS278" t="s">
        <v>896</v>
      </c>
      <c r="AT278" t="s">
        <v>75</v>
      </c>
      <c r="AU278" t="s">
        <v>75</v>
      </c>
      <c r="AV278">
        <v>0.68</v>
      </c>
      <c r="AW278">
        <v>0.93</v>
      </c>
      <c r="AX278">
        <v>0.81</v>
      </c>
      <c r="AY278">
        <v>0.68</v>
      </c>
      <c r="AZ278">
        <v>0.93</v>
      </c>
      <c r="BA278">
        <v>0.81</v>
      </c>
      <c r="BB278" t="s">
        <v>86</v>
      </c>
      <c r="BC278">
        <v>0.93</v>
      </c>
      <c r="BD278">
        <v>0.68</v>
      </c>
      <c r="BE278">
        <v>0</v>
      </c>
      <c r="BF278">
        <v>0.13</v>
      </c>
      <c r="BG278">
        <v>0</v>
      </c>
      <c r="BH278">
        <v>0.09</v>
      </c>
      <c r="BI278">
        <v>0</v>
      </c>
      <c r="BJ278">
        <v>0.13</v>
      </c>
      <c r="BK278" t="s">
        <v>75</v>
      </c>
      <c r="BL278" t="s">
        <v>1022</v>
      </c>
    </row>
    <row r="279" spans="1:64" x14ac:dyDescent="0.55000000000000004">
      <c r="A279" t="s">
        <v>1015</v>
      </c>
      <c r="B279">
        <v>76</v>
      </c>
      <c r="C279">
        <v>3</v>
      </c>
      <c r="D279">
        <v>1</v>
      </c>
      <c r="E279">
        <v>1</v>
      </c>
      <c r="F279">
        <v>76.3</v>
      </c>
      <c r="G279" t="s">
        <v>1025</v>
      </c>
      <c r="H279" t="s">
        <v>1017</v>
      </c>
      <c r="I279" t="s">
        <v>1018</v>
      </c>
      <c r="J279">
        <v>2021</v>
      </c>
      <c r="K279" t="s">
        <v>921</v>
      </c>
      <c r="L279" t="s">
        <v>1019</v>
      </c>
      <c r="M279" t="s">
        <v>217</v>
      </c>
      <c r="N279" t="s">
        <v>100</v>
      </c>
      <c r="O279" t="s">
        <v>1020</v>
      </c>
      <c r="P279" t="s">
        <v>134</v>
      </c>
      <c r="Q279" t="s">
        <v>134</v>
      </c>
      <c r="R279" t="s">
        <v>75</v>
      </c>
      <c r="S279" t="s">
        <v>75</v>
      </c>
      <c r="T279" t="s">
        <v>76</v>
      </c>
      <c r="U279" t="s">
        <v>75</v>
      </c>
      <c r="V279" t="s">
        <v>75</v>
      </c>
      <c r="W279" t="s">
        <v>75</v>
      </c>
      <c r="X279" t="s">
        <v>111</v>
      </c>
      <c r="Y279" t="s">
        <v>111</v>
      </c>
      <c r="Z279" t="s">
        <v>77</v>
      </c>
      <c r="AA279" t="s">
        <v>235</v>
      </c>
      <c r="AB279" t="s">
        <v>134</v>
      </c>
      <c r="AC279" t="s">
        <v>111</v>
      </c>
      <c r="AD279" t="s">
        <v>235</v>
      </c>
      <c r="AE279" t="s">
        <v>79</v>
      </c>
      <c r="AF279" t="s">
        <v>75</v>
      </c>
      <c r="AG279" t="s">
        <v>1026</v>
      </c>
      <c r="AH279" t="s">
        <v>75</v>
      </c>
      <c r="AI279" t="s">
        <v>75</v>
      </c>
      <c r="AK279" t="s">
        <v>115</v>
      </c>
      <c r="AL279" t="s">
        <v>115</v>
      </c>
      <c r="AM279" t="s">
        <v>116</v>
      </c>
      <c r="AN279">
        <v>40</v>
      </c>
      <c r="AO279">
        <v>40</v>
      </c>
      <c r="AP279">
        <v>40</v>
      </c>
      <c r="AQ279" t="s">
        <v>895</v>
      </c>
      <c r="AR279" t="s">
        <v>895</v>
      </c>
      <c r="AS279" t="s">
        <v>896</v>
      </c>
      <c r="AT279" t="s">
        <v>75</v>
      </c>
      <c r="AU279" t="s">
        <v>75</v>
      </c>
      <c r="AV279">
        <v>0.69</v>
      </c>
      <c r="AW279">
        <v>0.93</v>
      </c>
      <c r="AX279">
        <v>0.81</v>
      </c>
      <c r="AY279">
        <v>0.69</v>
      </c>
      <c r="AZ279">
        <v>0.93</v>
      </c>
      <c r="BA279">
        <v>0.81</v>
      </c>
      <c r="BB279" t="s">
        <v>86</v>
      </c>
      <c r="BC279">
        <v>0.93</v>
      </c>
      <c r="BD279">
        <v>0.69</v>
      </c>
      <c r="BE279">
        <v>0</v>
      </c>
      <c r="BF279">
        <v>0.08</v>
      </c>
      <c r="BG279">
        <v>0</v>
      </c>
      <c r="BH279">
        <v>0.09</v>
      </c>
      <c r="BI279">
        <v>0</v>
      </c>
      <c r="BJ279">
        <v>0.08</v>
      </c>
      <c r="BK27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4581-2F8E-44FB-B14B-F5D13886B2C2}">
  <dimension ref="A1:B22"/>
  <sheetViews>
    <sheetView workbookViewId="0">
      <selection activeCell="G17" sqref="G17"/>
    </sheetView>
  </sheetViews>
  <sheetFormatPr defaultRowHeight="14.4" x14ac:dyDescent="0.55000000000000004"/>
  <cols>
    <col min="2" max="2" width="18.89453125" customWidth="1"/>
  </cols>
  <sheetData>
    <row r="1" spans="1:2" x14ac:dyDescent="0.55000000000000004">
      <c r="A1" s="8" t="s">
        <v>14</v>
      </c>
      <c r="B1" s="8" t="s">
        <v>541</v>
      </c>
    </row>
    <row r="2" spans="1:2" x14ac:dyDescent="0.55000000000000004">
      <c r="A2" s="9" t="s">
        <v>73</v>
      </c>
      <c r="B2" s="9" t="s">
        <v>547</v>
      </c>
    </row>
    <row r="3" spans="1:2" x14ac:dyDescent="0.55000000000000004">
      <c r="A3" s="9" t="s">
        <v>178</v>
      </c>
      <c r="B3" s="9" t="s">
        <v>547</v>
      </c>
    </row>
    <row r="4" spans="1:2" x14ac:dyDescent="0.55000000000000004">
      <c r="A4" s="9" t="s">
        <v>194</v>
      </c>
      <c r="B4" s="9" t="s">
        <v>547</v>
      </c>
    </row>
    <row r="5" spans="1:2" x14ac:dyDescent="0.55000000000000004">
      <c r="A5" s="9" t="s">
        <v>234</v>
      </c>
      <c r="B5" s="9" t="s">
        <v>547</v>
      </c>
    </row>
    <row r="6" spans="1:2" x14ac:dyDescent="0.55000000000000004">
      <c r="A6" s="9" t="s">
        <v>513</v>
      </c>
      <c r="B6" s="9" t="s">
        <v>547</v>
      </c>
    </row>
    <row r="7" spans="1:2" x14ac:dyDescent="0.55000000000000004">
      <c r="A7" s="9" t="s">
        <v>542</v>
      </c>
      <c r="B7" s="9" t="s">
        <v>548</v>
      </c>
    </row>
    <row r="8" spans="1:2" x14ac:dyDescent="0.55000000000000004">
      <c r="A8" s="9" t="s">
        <v>543</v>
      </c>
      <c r="B8" s="9" t="s">
        <v>548</v>
      </c>
    </row>
    <row r="9" spans="1:2" x14ac:dyDescent="0.55000000000000004">
      <c r="A9" s="9" t="s">
        <v>133</v>
      </c>
      <c r="B9" s="9" t="s">
        <v>549</v>
      </c>
    </row>
    <row r="10" spans="1:2" x14ac:dyDescent="0.55000000000000004">
      <c r="A10" s="9" t="s">
        <v>274</v>
      </c>
      <c r="B10" s="9" t="s">
        <v>549</v>
      </c>
    </row>
    <row r="11" spans="1:2" x14ac:dyDescent="0.55000000000000004">
      <c r="A11" s="9" t="s">
        <v>364</v>
      </c>
      <c r="B11" s="9" t="s">
        <v>549</v>
      </c>
    </row>
    <row r="12" spans="1:2" x14ac:dyDescent="0.55000000000000004">
      <c r="A12" s="9" t="s">
        <v>373</v>
      </c>
      <c r="B12" s="9" t="s">
        <v>549</v>
      </c>
    </row>
    <row r="13" spans="1:2" x14ac:dyDescent="0.55000000000000004">
      <c r="A13" s="9" t="s">
        <v>310</v>
      </c>
      <c r="B13" s="9" t="s">
        <v>549</v>
      </c>
    </row>
    <row r="14" spans="1:2" x14ac:dyDescent="0.55000000000000004">
      <c r="A14" s="9" t="s">
        <v>414</v>
      </c>
      <c r="B14" s="9" t="s">
        <v>549</v>
      </c>
    </row>
    <row r="15" spans="1:2" x14ac:dyDescent="0.55000000000000004">
      <c r="A15" s="9" t="s">
        <v>544</v>
      </c>
      <c r="B15" s="9" t="s">
        <v>549</v>
      </c>
    </row>
    <row r="16" spans="1:2" x14ac:dyDescent="0.55000000000000004">
      <c r="A16" s="9" t="s">
        <v>459</v>
      </c>
      <c r="B16" s="9" t="s">
        <v>550</v>
      </c>
    </row>
    <row r="17" spans="1:2" x14ac:dyDescent="0.55000000000000004">
      <c r="A17" s="9" t="s">
        <v>469</v>
      </c>
      <c r="B17" s="9" t="s">
        <v>550</v>
      </c>
    </row>
    <row r="18" spans="1:2" x14ac:dyDescent="0.55000000000000004">
      <c r="A18" s="9" t="s">
        <v>481</v>
      </c>
      <c r="B18" s="9" t="s">
        <v>550</v>
      </c>
    </row>
    <row r="19" spans="1:2" x14ac:dyDescent="0.55000000000000004">
      <c r="A19" t="s">
        <v>347</v>
      </c>
      <c r="B19" t="s">
        <v>551</v>
      </c>
    </row>
    <row r="20" spans="1:2" x14ac:dyDescent="0.55000000000000004">
      <c r="A20" t="s">
        <v>492</v>
      </c>
      <c r="B20" t="s">
        <v>551</v>
      </c>
    </row>
    <row r="21" spans="1:2" x14ac:dyDescent="0.55000000000000004">
      <c r="A21" t="s">
        <v>263</v>
      </c>
      <c r="B21" t="s">
        <v>551</v>
      </c>
    </row>
    <row r="22" spans="1:2" x14ac:dyDescent="0.55000000000000004">
      <c r="A22" t="s">
        <v>109</v>
      </c>
      <c r="B22" t="s">
        <v>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2"/>
  <sheetViews>
    <sheetView topLeftCell="A6" workbookViewId="0">
      <selection activeCell="G4" sqref="G4:G30"/>
    </sheetView>
  </sheetViews>
  <sheetFormatPr defaultRowHeight="14.4" x14ac:dyDescent="0.55000000000000004"/>
  <cols>
    <col min="1" max="1" width="20.62890625" bestFit="1" customWidth="1"/>
    <col min="2" max="2" width="11.68359375" bestFit="1" customWidth="1"/>
  </cols>
  <sheetData>
    <row r="2" spans="1:7" ht="14.7" thickBot="1" x14ac:dyDescent="0.6"/>
    <row r="3" spans="1:7" ht="14.7" thickBot="1" x14ac:dyDescent="0.6">
      <c r="A3" s="2" t="s">
        <v>535</v>
      </c>
      <c r="B3" t="s">
        <v>538</v>
      </c>
      <c r="F3" s="5" t="s">
        <v>0</v>
      </c>
      <c r="G3" t="e">
        <f>VLOOKUP(F3,$A$4:$B$31,2,0)</f>
        <v>#N/A</v>
      </c>
    </row>
    <row r="4" spans="1:7" ht="14.7" thickBot="1" x14ac:dyDescent="0.6">
      <c r="A4" s="3" t="s">
        <v>104</v>
      </c>
      <c r="B4" s="4">
        <v>12</v>
      </c>
      <c r="F4" s="6" t="s">
        <v>65</v>
      </c>
      <c r="G4">
        <f t="shared" ref="G4:G30" si="0">VLOOKUP(F4,$A$4:$B$31,2,0)</f>
        <v>12</v>
      </c>
    </row>
    <row r="5" spans="1:7" ht="14.7" thickBot="1" x14ac:dyDescent="0.6">
      <c r="A5" s="3" t="s">
        <v>246</v>
      </c>
      <c r="B5" s="4">
        <v>3</v>
      </c>
      <c r="F5" s="7" t="s">
        <v>104</v>
      </c>
      <c r="G5">
        <f t="shared" si="0"/>
        <v>12</v>
      </c>
    </row>
    <row r="6" spans="1:7" ht="14.7" thickBot="1" x14ac:dyDescent="0.6">
      <c r="A6" s="3" t="s">
        <v>410</v>
      </c>
      <c r="B6" s="4">
        <v>2</v>
      </c>
      <c r="F6" s="5" t="s">
        <v>128</v>
      </c>
      <c r="G6">
        <f t="shared" si="0"/>
        <v>1</v>
      </c>
    </row>
    <row r="7" spans="1:7" ht="14.7" thickBot="1" x14ac:dyDescent="0.6">
      <c r="A7" s="3" t="s">
        <v>268</v>
      </c>
      <c r="B7" s="4">
        <v>15</v>
      </c>
      <c r="F7" s="7" t="s">
        <v>138</v>
      </c>
      <c r="G7">
        <f t="shared" si="0"/>
        <v>4</v>
      </c>
    </row>
    <row r="8" spans="1:7" ht="14.7" thickBot="1" x14ac:dyDescent="0.6">
      <c r="A8" s="3" t="s">
        <v>212</v>
      </c>
      <c r="B8" s="4">
        <v>4</v>
      </c>
      <c r="F8" s="5" t="s">
        <v>155</v>
      </c>
      <c r="G8">
        <f t="shared" si="0"/>
        <v>4</v>
      </c>
    </row>
    <row r="9" spans="1:7" ht="14.7" thickBot="1" x14ac:dyDescent="0.6">
      <c r="A9" s="3" t="s">
        <v>487</v>
      </c>
      <c r="B9" s="4">
        <v>2</v>
      </c>
      <c r="F9" s="7" t="s">
        <v>173</v>
      </c>
      <c r="G9">
        <f t="shared" si="0"/>
        <v>3</v>
      </c>
    </row>
    <row r="10" spans="1:7" ht="14.7" thickBot="1" x14ac:dyDescent="0.6">
      <c r="A10" s="3" t="s">
        <v>229</v>
      </c>
      <c r="B10" s="4">
        <v>6</v>
      </c>
      <c r="F10" s="5" t="s">
        <v>189</v>
      </c>
      <c r="G10">
        <f t="shared" si="0"/>
        <v>3</v>
      </c>
    </row>
    <row r="11" spans="1:7" ht="14.7" thickBot="1" x14ac:dyDescent="0.6">
      <c r="A11" s="3" t="s">
        <v>381</v>
      </c>
      <c r="B11" s="4">
        <v>4</v>
      </c>
      <c r="F11" s="7" t="s">
        <v>205</v>
      </c>
      <c r="G11">
        <f t="shared" si="0"/>
        <v>1</v>
      </c>
    </row>
    <row r="12" spans="1:7" ht="14.7" thickBot="1" x14ac:dyDescent="0.6">
      <c r="A12" s="3" t="s">
        <v>476</v>
      </c>
      <c r="B12" s="4">
        <v>2</v>
      </c>
      <c r="F12" s="5" t="s">
        <v>212</v>
      </c>
      <c r="G12">
        <f t="shared" si="0"/>
        <v>4</v>
      </c>
    </row>
    <row r="13" spans="1:7" ht="14.7" thickBot="1" x14ac:dyDescent="0.6">
      <c r="A13" s="3" t="s">
        <v>205</v>
      </c>
      <c r="B13" s="4">
        <v>1</v>
      </c>
      <c r="F13" s="7" t="s">
        <v>229</v>
      </c>
      <c r="G13">
        <f t="shared" si="0"/>
        <v>6</v>
      </c>
    </row>
    <row r="14" spans="1:7" ht="14.7" thickBot="1" x14ac:dyDescent="0.6">
      <c r="A14" s="3" t="s">
        <v>342</v>
      </c>
      <c r="B14" s="4">
        <v>6</v>
      </c>
      <c r="F14" s="5" t="s">
        <v>246</v>
      </c>
      <c r="G14">
        <f t="shared" si="0"/>
        <v>3</v>
      </c>
    </row>
    <row r="15" spans="1:7" ht="14.7" thickBot="1" x14ac:dyDescent="0.6">
      <c r="A15" s="3" t="s">
        <v>128</v>
      </c>
      <c r="B15" s="4">
        <v>1</v>
      </c>
      <c r="F15" s="7" t="s">
        <v>257</v>
      </c>
      <c r="G15">
        <f t="shared" si="0"/>
        <v>1</v>
      </c>
    </row>
    <row r="16" spans="1:7" ht="14.7" thickBot="1" x14ac:dyDescent="0.6">
      <c r="A16" s="3" t="s">
        <v>305</v>
      </c>
      <c r="B16" s="4">
        <v>16</v>
      </c>
      <c r="F16" s="5" t="s">
        <v>268</v>
      </c>
      <c r="G16">
        <f t="shared" si="0"/>
        <v>15</v>
      </c>
    </row>
    <row r="17" spans="1:7" ht="14.7" thickBot="1" x14ac:dyDescent="0.6">
      <c r="A17" s="3" t="s">
        <v>454</v>
      </c>
      <c r="B17" s="4">
        <v>2</v>
      </c>
      <c r="F17" s="7" t="s">
        <v>305</v>
      </c>
      <c r="G17">
        <f t="shared" si="0"/>
        <v>16</v>
      </c>
    </row>
    <row r="18" spans="1:7" ht="14.7" thickBot="1" x14ac:dyDescent="0.6">
      <c r="A18" s="3" t="s">
        <v>392</v>
      </c>
      <c r="B18" s="4">
        <v>6</v>
      </c>
      <c r="F18" s="5" t="s">
        <v>342</v>
      </c>
      <c r="G18">
        <f t="shared" si="0"/>
        <v>6</v>
      </c>
    </row>
    <row r="19" spans="1:7" ht="14.7" thickBot="1" x14ac:dyDescent="0.6">
      <c r="A19" s="3" t="s">
        <v>173</v>
      </c>
      <c r="B19" s="4">
        <v>3</v>
      </c>
      <c r="F19" s="7" t="s">
        <v>381</v>
      </c>
      <c r="G19">
        <f t="shared" si="0"/>
        <v>4</v>
      </c>
    </row>
    <row r="20" spans="1:7" ht="14.7" thickBot="1" x14ac:dyDescent="0.6">
      <c r="A20" s="3" t="s">
        <v>508</v>
      </c>
      <c r="B20" s="4">
        <v>1</v>
      </c>
      <c r="F20" s="5" t="s">
        <v>392</v>
      </c>
      <c r="G20">
        <f t="shared" si="0"/>
        <v>6</v>
      </c>
    </row>
    <row r="21" spans="1:7" ht="14.7" thickBot="1" x14ac:dyDescent="0.6">
      <c r="A21" s="3" t="s">
        <v>138</v>
      </c>
      <c r="B21" s="4">
        <v>4</v>
      </c>
      <c r="F21" s="7" t="s">
        <v>410</v>
      </c>
      <c r="G21">
        <f t="shared" si="0"/>
        <v>2</v>
      </c>
    </row>
    <row r="22" spans="1:7" ht="14.7" thickBot="1" x14ac:dyDescent="0.6">
      <c r="A22" s="3" t="s">
        <v>496</v>
      </c>
      <c r="B22" s="4">
        <v>4</v>
      </c>
      <c r="F22" s="5" t="s">
        <v>416</v>
      </c>
      <c r="G22">
        <f t="shared" si="0"/>
        <v>2</v>
      </c>
    </row>
    <row r="23" spans="1:7" ht="14.7" thickBot="1" x14ac:dyDescent="0.6">
      <c r="A23" s="3" t="s">
        <v>257</v>
      </c>
      <c r="B23" s="4">
        <v>1</v>
      </c>
      <c r="F23" s="7" t="s">
        <v>426</v>
      </c>
      <c r="G23">
        <f t="shared" si="0"/>
        <v>9</v>
      </c>
    </row>
    <row r="24" spans="1:7" ht="14.7" thickBot="1" x14ac:dyDescent="0.6">
      <c r="A24" s="3" t="s">
        <v>155</v>
      </c>
      <c r="B24" s="4">
        <v>4</v>
      </c>
      <c r="F24" s="5" t="s">
        <v>454</v>
      </c>
      <c r="G24">
        <f t="shared" si="0"/>
        <v>2</v>
      </c>
    </row>
    <row r="25" spans="1:7" ht="14.7" thickBot="1" x14ac:dyDescent="0.6">
      <c r="A25" s="3" t="s">
        <v>426</v>
      </c>
      <c r="B25" s="4">
        <v>9</v>
      </c>
      <c r="F25" s="7" t="s">
        <v>464</v>
      </c>
      <c r="G25">
        <f t="shared" si="0"/>
        <v>2</v>
      </c>
    </row>
    <row r="26" spans="1:7" ht="14.7" thickBot="1" x14ac:dyDescent="0.6">
      <c r="A26" s="3" t="s">
        <v>65</v>
      </c>
      <c r="B26" s="4">
        <v>12</v>
      </c>
      <c r="F26" s="5" t="s">
        <v>476</v>
      </c>
      <c r="G26">
        <f t="shared" si="0"/>
        <v>2</v>
      </c>
    </row>
    <row r="27" spans="1:7" ht="14.7" thickBot="1" x14ac:dyDescent="0.6">
      <c r="A27" s="3" t="s">
        <v>464</v>
      </c>
      <c r="B27" s="4">
        <v>2</v>
      </c>
      <c r="F27" s="7" t="s">
        <v>487</v>
      </c>
      <c r="G27">
        <f t="shared" si="0"/>
        <v>2</v>
      </c>
    </row>
    <row r="28" spans="1:7" ht="14.7" thickBot="1" x14ac:dyDescent="0.6">
      <c r="A28" s="3" t="s">
        <v>416</v>
      </c>
      <c r="B28" s="4">
        <v>2</v>
      </c>
      <c r="F28" s="5" t="s">
        <v>496</v>
      </c>
      <c r="G28">
        <f t="shared" si="0"/>
        <v>4</v>
      </c>
    </row>
    <row r="29" spans="1:7" ht="14.7" thickBot="1" x14ac:dyDescent="0.6">
      <c r="A29" s="3" t="s">
        <v>189</v>
      </c>
      <c r="B29" s="4">
        <v>3</v>
      </c>
      <c r="F29" s="7" t="s">
        <v>508</v>
      </c>
      <c r="G29">
        <f t="shared" si="0"/>
        <v>1</v>
      </c>
    </row>
    <row r="30" spans="1:7" ht="14.7" thickBot="1" x14ac:dyDescent="0.6">
      <c r="A30" s="3" t="s">
        <v>519</v>
      </c>
      <c r="B30" s="4">
        <v>5</v>
      </c>
      <c r="F30" s="5" t="s">
        <v>519</v>
      </c>
      <c r="G30">
        <f t="shared" si="0"/>
        <v>5</v>
      </c>
    </row>
    <row r="31" spans="1:7" x14ac:dyDescent="0.55000000000000004">
      <c r="A31" s="3" t="s">
        <v>536</v>
      </c>
      <c r="B31" s="4"/>
    </row>
    <row r="32" spans="1:7" x14ac:dyDescent="0.55000000000000004">
      <c r="A32" s="3" t="s">
        <v>537</v>
      </c>
      <c r="B32" s="4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3"/>
  <sheetViews>
    <sheetView topLeftCell="A3" workbookViewId="0">
      <selection sqref="A1:P28"/>
    </sheetView>
  </sheetViews>
  <sheetFormatPr defaultRowHeight="14.4" x14ac:dyDescent="0.55000000000000004"/>
  <sheetData>
    <row r="1" spans="1:1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55000000000000004">
      <c r="A2" s="1" t="s">
        <v>65</v>
      </c>
      <c r="B2" s="1">
        <v>5</v>
      </c>
      <c r="C2" s="1">
        <v>1</v>
      </c>
      <c r="D2" s="1">
        <v>1</v>
      </c>
      <c r="E2" s="1">
        <v>1</v>
      </c>
      <c r="F2" s="1">
        <v>5.0999999999999996</v>
      </c>
      <c r="G2" s="1" t="s">
        <v>66</v>
      </c>
      <c r="H2" s="1" t="s">
        <v>67</v>
      </c>
      <c r="I2" s="1" t="s">
        <v>68</v>
      </c>
      <c r="J2" s="1">
        <v>2021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74</v>
      </c>
    </row>
    <row r="3" spans="1:16" x14ac:dyDescent="0.55000000000000004">
      <c r="A3" s="1" t="s">
        <v>104</v>
      </c>
      <c r="B3" s="1">
        <v>6</v>
      </c>
      <c r="C3" s="1">
        <v>3</v>
      </c>
      <c r="D3" s="1">
        <v>1</v>
      </c>
      <c r="E3" s="1">
        <v>1</v>
      </c>
      <c r="F3" s="1">
        <v>6.3</v>
      </c>
      <c r="G3" s="1" t="s">
        <v>105</v>
      </c>
      <c r="H3" s="1" t="s">
        <v>106</v>
      </c>
      <c r="I3" s="1" t="s">
        <v>107</v>
      </c>
      <c r="J3" s="1">
        <v>2021</v>
      </c>
      <c r="K3" s="1" t="s">
        <v>70</v>
      </c>
      <c r="L3" s="1" t="s">
        <v>108</v>
      </c>
      <c r="M3" s="1" t="s">
        <v>72</v>
      </c>
      <c r="N3" s="1" t="s">
        <v>109</v>
      </c>
      <c r="O3" s="1" t="s">
        <v>110</v>
      </c>
      <c r="P3" s="1" t="s">
        <v>110</v>
      </c>
    </row>
    <row r="4" spans="1:16" x14ac:dyDescent="0.55000000000000004">
      <c r="A4" s="1" t="s">
        <v>128</v>
      </c>
      <c r="B4" s="1">
        <v>7</v>
      </c>
      <c r="C4" s="1">
        <v>1</v>
      </c>
      <c r="D4" s="1">
        <v>2</v>
      </c>
      <c r="E4" s="1">
        <v>1</v>
      </c>
      <c r="F4" s="1">
        <v>7.1</v>
      </c>
      <c r="G4" s="1" t="s">
        <v>129</v>
      </c>
      <c r="H4" s="1" t="s">
        <v>130</v>
      </c>
      <c r="I4" s="1" t="s">
        <v>131</v>
      </c>
      <c r="J4" s="1">
        <v>2021</v>
      </c>
      <c r="K4" s="1" t="s">
        <v>132</v>
      </c>
      <c r="L4" s="1" t="s">
        <v>108</v>
      </c>
      <c r="M4" s="1" t="s">
        <v>72</v>
      </c>
      <c r="N4" s="1" t="s">
        <v>133</v>
      </c>
      <c r="O4" s="1" t="s">
        <v>134</v>
      </c>
      <c r="P4" s="1" t="s">
        <v>134</v>
      </c>
    </row>
    <row r="5" spans="1:16" x14ac:dyDescent="0.55000000000000004">
      <c r="A5" s="1" t="s">
        <v>138</v>
      </c>
      <c r="B5" s="1">
        <v>9</v>
      </c>
      <c r="C5" s="1">
        <v>2</v>
      </c>
      <c r="D5" s="1">
        <v>1</v>
      </c>
      <c r="E5" s="1">
        <v>1</v>
      </c>
      <c r="F5" s="1">
        <v>9.1999999999999993</v>
      </c>
      <c r="G5" s="1" t="s">
        <v>139</v>
      </c>
      <c r="H5" s="1" t="s">
        <v>140</v>
      </c>
      <c r="I5" s="1" t="s">
        <v>141</v>
      </c>
      <c r="J5" s="1">
        <v>2021</v>
      </c>
      <c r="K5" s="1" t="s">
        <v>142</v>
      </c>
      <c r="L5" s="1" t="s">
        <v>108</v>
      </c>
      <c r="M5" s="1" t="s">
        <v>72</v>
      </c>
      <c r="N5" s="1" t="s">
        <v>143</v>
      </c>
      <c r="O5" s="1" t="s">
        <v>110</v>
      </c>
      <c r="P5" s="1" t="s">
        <v>110</v>
      </c>
    </row>
    <row r="6" spans="1:16" x14ac:dyDescent="0.55000000000000004">
      <c r="A6" s="1" t="s">
        <v>155</v>
      </c>
      <c r="B6" s="1">
        <v>14</v>
      </c>
      <c r="C6" s="1">
        <v>1</v>
      </c>
      <c r="D6" s="1">
        <v>1</v>
      </c>
      <c r="E6" s="1">
        <v>1</v>
      </c>
      <c r="F6" s="1">
        <v>14.1</v>
      </c>
      <c r="G6" s="1" t="s">
        <v>156</v>
      </c>
      <c r="H6" s="1" t="s">
        <v>157</v>
      </c>
      <c r="I6" s="1" t="s">
        <v>158</v>
      </c>
      <c r="J6" s="1">
        <v>2023</v>
      </c>
      <c r="K6" s="1" t="s">
        <v>159</v>
      </c>
      <c r="L6" s="1" t="s">
        <v>108</v>
      </c>
      <c r="M6" s="1" t="s">
        <v>72</v>
      </c>
      <c r="N6" s="1" t="s">
        <v>160</v>
      </c>
      <c r="O6" s="1" t="s">
        <v>161</v>
      </c>
      <c r="P6" s="1" t="s">
        <v>162</v>
      </c>
    </row>
    <row r="7" spans="1:16" x14ac:dyDescent="0.55000000000000004">
      <c r="A7" s="1" t="s">
        <v>173</v>
      </c>
      <c r="B7" s="1">
        <v>20</v>
      </c>
      <c r="C7" s="1">
        <v>1</v>
      </c>
      <c r="D7" s="1">
        <v>1</v>
      </c>
      <c r="E7" s="1">
        <v>1</v>
      </c>
      <c r="F7" s="1">
        <v>20.100000000000001</v>
      </c>
      <c r="G7" s="1" t="s">
        <v>174</v>
      </c>
      <c r="H7" s="1" t="s">
        <v>175</v>
      </c>
      <c r="I7" s="1" t="s">
        <v>176</v>
      </c>
      <c r="J7" s="1">
        <v>2022</v>
      </c>
      <c r="K7" s="1" t="s">
        <v>177</v>
      </c>
      <c r="L7" s="1" t="s">
        <v>99</v>
      </c>
      <c r="M7" s="1" t="s">
        <v>100</v>
      </c>
      <c r="N7" s="1" t="s">
        <v>178</v>
      </c>
      <c r="O7" s="1" t="s">
        <v>74</v>
      </c>
      <c r="P7" s="1" t="s">
        <v>74</v>
      </c>
    </row>
    <row r="8" spans="1:16" x14ac:dyDescent="0.55000000000000004">
      <c r="A8" s="1" t="s">
        <v>189</v>
      </c>
      <c r="B8" s="1">
        <v>27</v>
      </c>
      <c r="C8" s="1">
        <v>1</v>
      </c>
      <c r="D8" s="1">
        <v>1</v>
      </c>
      <c r="E8" s="1">
        <v>1</v>
      </c>
      <c r="F8" s="1">
        <v>27.1</v>
      </c>
      <c r="G8" s="1" t="s">
        <v>190</v>
      </c>
      <c r="H8" s="1" t="s">
        <v>191</v>
      </c>
      <c r="I8" s="1" t="s">
        <v>192</v>
      </c>
      <c r="J8" s="1">
        <v>2021</v>
      </c>
      <c r="K8" s="1" t="s">
        <v>193</v>
      </c>
      <c r="L8" s="1" t="s">
        <v>108</v>
      </c>
      <c r="M8" s="1" t="s">
        <v>72</v>
      </c>
      <c r="N8" s="1" t="s">
        <v>194</v>
      </c>
      <c r="O8" s="1" t="s">
        <v>74</v>
      </c>
      <c r="P8" s="1" t="s">
        <v>74</v>
      </c>
    </row>
    <row r="9" spans="1:16" x14ac:dyDescent="0.55000000000000004">
      <c r="A9" s="1" t="s">
        <v>205</v>
      </c>
      <c r="B9" s="1">
        <v>68</v>
      </c>
      <c r="C9" s="1">
        <v>1</v>
      </c>
      <c r="D9" s="1">
        <v>2</v>
      </c>
      <c r="E9" s="1">
        <v>1</v>
      </c>
      <c r="F9" s="1">
        <v>68.099999999999994</v>
      </c>
      <c r="G9" s="1" t="s">
        <v>206</v>
      </c>
      <c r="H9" s="1" t="s">
        <v>207</v>
      </c>
      <c r="I9" s="1" t="s">
        <v>208</v>
      </c>
      <c r="J9" s="1">
        <v>2022</v>
      </c>
      <c r="K9" s="1" t="s">
        <v>209</v>
      </c>
      <c r="L9" s="1" t="s">
        <v>108</v>
      </c>
      <c r="M9" s="1" t="s">
        <v>72</v>
      </c>
      <c r="N9" s="1" t="s">
        <v>73</v>
      </c>
      <c r="O9" s="1" t="s">
        <v>161</v>
      </c>
      <c r="P9" s="1" t="s">
        <v>162</v>
      </c>
    </row>
    <row r="10" spans="1:16" x14ac:dyDescent="0.55000000000000004">
      <c r="A10" s="1" t="s">
        <v>212</v>
      </c>
      <c r="B10" s="1">
        <v>69</v>
      </c>
      <c r="C10" s="1">
        <v>1</v>
      </c>
      <c r="D10" s="1">
        <v>1</v>
      </c>
      <c r="E10" s="1">
        <v>1</v>
      </c>
      <c r="F10" s="1">
        <v>69.099999999999994</v>
      </c>
      <c r="G10" s="1" t="s">
        <v>213</v>
      </c>
      <c r="H10" s="1" t="s">
        <v>214</v>
      </c>
      <c r="I10" s="1" t="s">
        <v>215</v>
      </c>
      <c r="J10" s="1">
        <v>2023</v>
      </c>
      <c r="K10" s="1" t="s">
        <v>216</v>
      </c>
      <c r="L10" s="1" t="s">
        <v>217</v>
      </c>
      <c r="M10" s="1" t="s">
        <v>100</v>
      </c>
      <c r="N10" s="1" t="s">
        <v>73</v>
      </c>
      <c r="O10" s="1" t="s">
        <v>161</v>
      </c>
      <c r="P10" s="1" t="s">
        <v>162</v>
      </c>
    </row>
    <row r="11" spans="1:16" x14ac:dyDescent="0.55000000000000004">
      <c r="A11" s="1" t="s">
        <v>229</v>
      </c>
      <c r="B11" s="1">
        <v>72</v>
      </c>
      <c r="C11" s="1">
        <v>1</v>
      </c>
      <c r="D11" s="1">
        <v>1</v>
      </c>
      <c r="E11" s="1">
        <v>1</v>
      </c>
      <c r="F11" s="1">
        <v>72.099999999999994</v>
      </c>
      <c r="G11" s="1" t="s">
        <v>230</v>
      </c>
      <c r="H11" s="1" t="s">
        <v>231</v>
      </c>
      <c r="I11" s="1" t="s">
        <v>232</v>
      </c>
      <c r="J11" s="1">
        <v>2022</v>
      </c>
      <c r="K11" s="1" t="s">
        <v>233</v>
      </c>
      <c r="L11" s="1" t="s">
        <v>108</v>
      </c>
      <c r="M11" s="1" t="s">
        <v>72</v>
      </c>
      <c r="N11" s="1" t="s">
        <v>234</v>
      </c>
      <c r="O11" s="1" t="s">
        <v>74</v>
      </c>
      <c r="P11" s="1" t="s">
        <v>74</v>
      </c>
    </row>
    <row r="12" spans="1:16" x14ac:dyDescent="0.55000000000000004">
      <c r="A12" s="1" t="s">
        <v>246</v>
      </c>
      <c r="B12" s="1">
        <v>74</v>
      </c>
      <c r="C12" s="1">
        <v>1</v>
      </c>
      <c r="D12" s="1">
        <v>1</v>
      </c>
      <c r="E12" s="1">
        <v>1</v>
      </c>
      <c r="F12" s="1">
        <v>74.099999999999994</v>
      </c>
      <c r="G12" s="1" t="s">
        <v>247</v>
      </c>
      <c r="H12" s="1" t="s">
        <v>248</v>
      </c>
      <c r="I12" s="1" t="s">
        <v>249</v>
      </c>
      <c r="J12" s="1">
        <v>2022</v>
      </c>
      <c r="K12" s="1" t="s">
        <v>250</v>
      </c>
      <c r="L12" s="1" t="s">
        <v>217</v>
      </c>
      <c r="M12" s="1" t="s">
        <v>100</v>
      </c>
      <c r="N12" s="1" t="s">
        <v>251</v>
      </c>
      <c r="O12" s="1" t="s">
        <v>134</v>
      </c>
      <c r="P12" s="1" t="s">
        <v>134</v>
      </c>
    </row>
    <row r="13" spans="1:16" x14ac:dyDescent="0.55000000000000004">
      <c r="A13" s="1" t="s">
        <v>257</v>
      </c>
      <c r="B13" s="1">
        <v>84</v>
      </c>
      <c r="C13" s="1">
        <v>4</v>
      </c>
      <c r="D13" s="1">
        <v>1</v>
      </c>
      <c r="E13" s="1">
        <v>1</v>
      </c>
      <c r="F13" s="1">
        <v>4.0999999999999996</v>
      </c>
      <c r="G13" s="1" t="s">
        <v>258</v>
      </c>
      <c r="H13" s="1" t="s">
        <v>259</v>
      </c>
      <c r="I13" s="1" t="s">
        <v>260</v>
      </c>
      <c r="J13" s="1">
        <v>2024</v>
      </c>
      <c r="K13" s="1" t="s">
        <v>261</v>
      </c>
      <c r="L13" s="1" t="s">
        <v>262</v>
      </c>
      <c r="M13" s="1" t="s">
        <v>100</v>
      </c>
      <c r="N13" s="1" t="s">
        <v>263</v>
      </c>
      <c r="O13" s="1" t="s">
        <v>110</v>
      </c>
      <c r="P13" s="1" t="s">
        <v>134</v>
      </c>
    </row>
    <row r="14" spans="1:16" x14ac:dyDescent="0.55000000000000004">
      <c r="A14" s="1" t="s">
        <v>268</v>
      </c>
      <c r="B14" s="1">
        <v>43</v>
      </c>
      <c r="C14" s="1">
        <v>1</v>
      </c>
      <c r="D14" s="1">
        <v>1</v>
      </c>
      <c r="E14" s="1">
        <v>1</v>
      </c>
      <c r="F14" s="1">
        <v>43.1</v>
      </c>
      <c r="G14" s="1" t="s">
        <v>269</v>
      </c>
      <c r="H14" s="1" t="s">
        <v>270</v>
      </c>
      <c r="I14" s="1" t="s">
        <v>271</v>
      </c>
      <c r="J14" s="1">
        <v>2020</v>
      </c>
      <c r="K14" s="1" t="s">
        <v>273</v>
      </c>
      <c r="L14" s="1" t="s">
        <v>108</v>
      </c>
      <c r="M14" s="1" t="s">
        <v>72</v>
      </c>
      <c r="N14" s="1" t="s">
        <v>274</v>
      </c>
      <c r="O14" s="1" t="s">
        <v>110</v>
      </c>
      <c r="P14" s="1" t="s">
        <v>110</v>
      </c>
    </row>
    <row r="15" spans="1:16" x14ac:dyDescent="0.55000000000000004">
      <c r="A15" s="1" t="s">
        <v>305</v>
      </c>
      <c r="B15" s="1">
        <v>1</v>
      </c>
      <c r="C15" s="1">
        <v>1</v>
      </c>
      <c r="D15" s="1">
        <v>1</v>
      </c>
      <c r="E15" s="1">
        <v>1</v>
      </c>
      <c r="F15" s="1">
        <v>1.1000000000000001</v>
      </c>
      <c r="G15" s="1" t="s">
        <v>306</v>
      </c>
      <c r="H15" s="1" t="s">
        <v>307</v>
      </c>
      <c r="I15" s="1" t="s">
        <v>308</v>
      </c>
      <c r="J15" s="1">
        <v>2020</v>
      </c>
      <c r="K15" s="1" t="s">
        <v>309</v>
      </c>
      <c r="L15" s="1" t="s">
        <v>108</v>
      </c>
      <c r="M15" s="1" t="s">
        <v>72</v>
      </c>
      <c r="N15" s="1" t="s">
        <v>310</v>
      </c>
      <c r="O15" s="1" t="s">
        <v>110</v>
      </c>
      <c r="P15" s="1" t="s">
        <v>110</v>
      </c>
    </row>
    <row r="16" spans="1:16" x14ac:dyDescent="0.55000000000000004">
      <c r="A16" s="1" t="s">
        <v>342</v>
      </c>
      <c r="B16" s="1">
        <v>3</v>
      </c>
      <c r="C16" s="1">
        <v>1</v>
      </c>
      <c r="D16" s="1">
        <v>1</v>
      </c>
      <c r="E16" s="1">
        <v>1</v>
      </c>
      <c r="F16" s="1">
        <v>3.1</v>
      </c>
      <c r="G16" s="1" t="s">
        <v>343</v>
      </c>
      <c r="H16" s="1" t="s">
        <v>344</v>
      </c>
      <c r="I16" s="1" t="s">
        <v>345</v>
      </c>
      <c r="J16" s="1">
        <v>2020</v>
      </c>
      <c r="K16" s="1" t="s">
        <v>346</v>
      </c>
      <c r="L16" s="1" t="s">
        <v>108</v>
      </c>
      <c r="M16" s="1" t="s">
        <v>72</v>
      </c>
      <c r="N16" s="1" t="s">
        <v>347</v>
      </c>
      <c r="O16" s="1" t="s">
        <v>110</v>
      </c>
      <c r="P16" s="1" t="s">
        <v>110</v>
      </c>
    </row>
    <row r="17" spans="1:16" x14ac:dyDescent="0.55000000000000004">
      <c r="A17" s="1" t="s">
        <v>381</v>
      </c>
      <c r="B17" s="1">
        <v>8</v>
      </c>
      <c r="C17" s="1">
        <v>1</v>
      </c>
      <c r="D17" s="1">
        <v>1</v>
      </c>
      <c r="E17" s="1">
        <v>1</v>
      </c>
      <c r="F17" s="1">
        <v>8.1</v>
      </c>
      <c r="G17" s="1" t="s">
        <v>382</v>
      </c>
      <c r="H17" s="1" t="s">
        <v>383</v>
      </c>
      <c r="I17" s="1" t="s">
        <v>384</v>
      </c>
      <c r="J17" s="1">
        <v>2021</v>
      </c>
      <c r="K17" s="1" t="s">
        <v>385</v>
      </c>
      <c r="L17" s="1" t="s">
        <v>108</v>
      </c>
      <c r="M17" s="1" t="s">
        <v>72</v>
      </c>
      <c r="N17" s="1" t="s">
        <v>347</v>
      </c>
      <c r="O17" s="1" t="s">
        <v>110</v>
      </c>
      <c r="P17" s="1" t="s">
        <v>110</v>
      </c>
    </row>
    <row r="18" spans="1:16" x14ac:dyDescent="0.55000000000000004">
      <c r="A18" s="1" t="s">
        <v>392</v>
      </c>
      <c r="B18" s="1">
        <v>10</v>
      </c>
      <c r="C18" s="1">
        <v>1</v>
      </c>
      <c r="D18" s="1">
        <v>1</v>
      </c>
      <c r="E18" s="1">
        <v>1</v>
      </c>
      <c r="F18" s="1">
        <v>10.1</v>
      </c>
      <c r="G18" s="1" t="s">
        <v>393</v>
      </c>
      <c r="H18" s="1" t="s">
        <v>394</v>
      </c>
      <c r="I18" s="1" t="s">
        <v>395</v>
      </c>
      <c r="J18" s="1">
        <v>2022</v>
      </c>
      <c r="K18" s="1" t="s">
        <v>396</v>
      </c>
      <c r="L18" s="1" t="s">
        <v>108</v>
      </c>
      <c r="M18" s="1" t="s">
        <v>72</v>
      </c>
      <c r="N18" s="1" t="s">
        <v>397</v>
      </c>
      <c r="O18" s="1" t="s">
        <v>110</v>
      </c>
      <c r="P18" s="1" t="s">
        <v>110</v>
      </c>
    </row>
    <row r="19" spans="1:16" x14ac:dyDescent="0.55000000000000004">
      <c r="A19" s="1" t="s">
        <v>410</v>
      </c>
      <c r="B19" s="1">
        <v>15</v>
      </c>
      <c r="C19" s="1">
        <v>1</v>
      </c>
      <c r="D19" s="1">
        <v>1</v>
      </c>
      <c r="E19" s="1">
        <v>1</v>
      </c>
      <c r="F19" s="1">
        <v>15.1</v>
      </c>
      <c r="G19" s="1" t="s">
        <v>411</v>
      </c>
      <c r="H19" s="1" t="s">
        <v>412</v>
      </c>
      <c r="I19" s="1" t="s">
        <v>413</v>
      </c>
      <c r="J19" s="1">
        <v>2023</v>
      </c>
      <c r="K19" s="1" t="s">
        <v>142</v>
      </c>
      <c r="L19" s="1" t="s">
        <v>108</v>
      </c>
      <c r="M19" s="1" t="s">
        <v>72</v>
      </c>
      <c r="N19" s="1" t="s">
        <v>414</v>
      </c>
      <c r="O19" s="1" t="s">
        <v>110</v>
      </c>
      <c r="P19" s="1" t="s">
        <v>110</v>
      </c>
    </row>
    <row r="20" spans="1:16" x14ac:dyDescent="0.55000000000000004">
      <c r="A20" s="1" t="s">
        <v>416</v>
      </c>
      <c r="B20" s="1">
        <v>16</v>
      </c>
      <c r="C20" s="1">
        <v>1</v>
      </c>
      <c r="D20" s="1">
        <v>1</v>
      </c>
      <c r="E20" s="1">
        <v>1</v>
      </c>
      <c r="F20" s="1">
        <v>16.100000000000001</v>
      </c>
      <c r="G20" s="1" t="s">
        <v>417</v>
      </c>
      <c r="H20" s="1" t="s">
        <v>418</v>
      </c>
      <c r="I20" s="1" t="s">
        <v>419</v>
      </c>
      <c r="J20" s="1">
        <v>2023</v>
      </c>
      <c r="K20" s="1" t="s">
        <v>420</v>
      </c>
      <c r="L20" s="1" t="s">
        <v>99</v>
      </c>
      <c r="M20" s="1" t="s">
        <v>100</v>
      </c>
      <c r="N20" s="1" t="s">
        <v>414</v>
      </c>
      <c r="O20" s="1" t="s">
        <v>110</v>
      </c>
      <c r="P20" s="1" t="s">
        <v>110</v>
      </c>
    </row>
    <row r="21" spans="1:16" x14ac:dyDescent="0.55000000000000004">
      <c r="A21" s="1" t="s">
        <v>426</v>
      </c>
      <c r="B21" s="1">
        <v>23</v>
      </c>
      <c r="C21" s="1">
        <v>1</v>
      </c>
      <c r="D21" s="1">
        <v>1</v>
      </c>
      <c r="E21" s="1">
        <v>1</v>
      </c>
      <c r="F21" s="1">
        <v>23.1</v>
      </c>
      <c r="G21" s="1" t="s">
        <v>427</v>
      </c>
      <c r="H21" s="1" t="s">
        <v>534</v>
      </c>
      <c r="I21" s="1" t="s">
        <v>428</v>
      </c>
      <c r="J21" s="1">
        <v>2022</v>
      </c>
      <c r="K21" s="1" t="s">
        <v>429</v>
      </c>
      <c r="L21" s="1" t="s">
        <v>108</v>
      </c>
      <c r="M21" s="1" t="s">
        <v>72</v>
      </c>
      <c r="N21" s="1" t="s">
        <v>430</v>
      </c>
      <c r="O21" s="1" t="s">
        <v>110</v>
      </c>
      <c r="P21" s="1" t="s">
        <v>110</v>
      </c>
    </row>
    <row r="22" spans="1:16" x14ac:dyDescent="0.55000000000000004">
      <c r="A22" s="1" t="s">
        <v>454</v>
      </c>
      <c r="B22" s="1">
        <v>24</v>
      </c>
      <c r="C22" s="1">
        <v>1</v>
      </c>
      <c r="D22" s="1">
        <v>1</v>
      </c>
      <c r="E22" s="1">
        <v>1</v>
      </c>
      <c r="F22" s="1">
        <v>24.1</v>
      </c>
      <c r="G22" s="1" t="s">
        <v>455</v>
      </c>
      <c r="H22" s="1" t="s">
        <v>456</v>
      </c>
      <c r="I22" s="1" t="s">
        <v>457</v>
      </c>
      <c r="J22" s="1">
        <v>2022</v>
      </c>
      <c r="K22" s="1" t="s">
        <v>458</v>
      </c>
      <c r="L22" s="1" t="s">
        <v>108</v>
      </c>
      <c r="M22" s="1" t="s">
        <v>72</v>
      </c>
      <c r="N22" s="1" t="s">
        <v>459</v>
      </c>
      <c r="O22" s="1" t="s">
        <v>110</v>
      </c>
      <c r="P22" s="1" t="s">
        <v>110</v>
      </c>
    </row>
    <row r="23" spans="1:16" x14ac:dyDescent="0.55000000000000004">
      <c r="A23" s="1" t="s">
        <v>464</v>
      </c>
      <c r="B23" s="1">
        <v>38</v>
      </c>
      <c r="C23" s="1">
        <v>1</v>
      </c>
      <c r="D23" s="1">
        <v>1</v>
      </c>
      <c r="E23" s="1">
        <v>1</v>
      </c>
      <c r="F23" s="1">
        <v>38.1</v>
      </c>
      <c r="G23" s="1" t="s">
        <v>465</v>
      </c>
      <c r="H23" s="1" t="s">
        <v>466</v>
      </c>
      <c r="I23" s="1" t="s">
        <v>467</v>
      </c>
      <c r="J23" s="1">
        <v>2021</v>
      </c>
      <c r="K23" s="1" t="s">
        <v>468</v>
      </c>
      <c r="L23" s="1" t="s">
        <v>217</v>
      </c>
      <c r="M23" s="1" t="s">
        <v>100</v>
      </c>
      <c r="N23" s="1" t="s">
        <v>469</v>
      </c>
      <c r="O23" s="1" t="s">
        <v>196</v>
      </c>
      <c r="P23" s="1" t="s">
        <v>162</v>
      </c>
    </row>
    <row r="24" spans="1:16" x14ac:dyDescent="0.55000000000000004">
      <c r="A24" s="1" t="s">
        <v>476</v>
      </c>
      <c r="B24" s="1">
        <v>51</v>
      </c>
      <c r="C24" s="1">
        <v>1</v>
      </c>
      <c r="D24" s="1">
        <v>1</v>
      </c>
      <c r="E24" s="1">
        <v>1</v>
      </c>
      <c r="F24" s="1">
        <v>51.1</v>
      </c>
      <c r="G24" s="1" t="s">
        <v>477</v>
      </c>
      <c r="H24" s="1" t="s">
        <v>478</v>
      </c>
      <c r="I24" s="1" t="s">
        <v>479</v>
      </c>
      <c r="J24" s="1">
        <v>2022</v>
      </c>
      <c r="K24" s="1" t="s">
        <v>480</v>
      </c>
      <c r="L24" s="1" t="s">
        <v>217</v>
      </c>
      <c r="M24" s="1" t="s">
        <v>100</v>
      </c>
      <c r="N24" s="1" t="s">
        <v>481</v>
      </c>
      <c r="O24" s="1" t="s">
        <v>482</v>
      </c>
      <c r="P24" s="1" t="s">
        <v>482</v>
      </c>
    </row>
    <row r="25" spans="1:16" x14ac:dyDescent="0.55000000000000004">
      <c r="A25" s="1" t="s">
        <v>487</v>
      </c>
      <c r="B25" s="1">
        <v>4</v>
      </c>
      <c r="C25" s="1">
        <v>1</v>
      </c>
      <c r="D25" s="1">
        <v>1</v>
      </c>
      <c r="E25" s="1">
        <v>1</v>
      </c>
      <c r="F25" s="1">
        <v>4.0999999999999996</v>
      </c>
      <c r="G25" s="1" t="s">
        <v>488</v>
      </c>
      <c r="H25" s="1" t="s">
        <v>489</v>
      </c>
      <c r="I25" s="1" t="s">
        <v>490</v>
      </c>
      <c r="J25" s="1">
        <v>2021</v>
      </c>
      <c r="K25" s="1" t="s">
        <v>491</v>
      </c>
      <c r="L25" s="1" t="s">
        <v>108</v>
      </c>
      <c r="M25" s="1" t="s">
        <v>72</v>
      </c>
      <c r="N25" s="1" t="s">
        <v>492</v>
      </c>
      <c r="O25" s="1" t="s">
        <v>110</v>
      </c>
      <c r="P25" s="1" t="s">
        <v>110</v>
      </c>
    </row>
    <row r="26" spans="1:16" x14ac:dyDescent="0.55000000000000004">
      <c r="A26" s="1" t="s">
        <v>496</v>
      </c>
      <c r="B26" s="1">
        <v>75</v>
      </c>
      <c r="C26" s="1">
        <v>2</v>
      </c>
      <c r="D26" s="1">
        <v>1</v>
      </c>
      <c r="E26" s="1">
        <v>1</v>
      </c>
      <c r="F26" s="1">
        <v>75.2</v>
      </c>
      <c r="G26" s="1" t="s">
        <v>497</v>
      </c>
      <c r="H26" s="1" t="s">
        <v>498</v>
      </c>
      <c r="I26" s="1" t="s">
        <v>499</v>
      </c>
      <c r="J26" s="1">
        <v>2022</v>
      </c>
      <c r="K26" s="1" t="s">
        <v>500</v>
      </c>
      <c r="L26" s="1" t="s">
        <v>108</v>
      </c>
      <c r="M26" s="1" t="s">
        <v>72</v>
      </c>
      <c r="N26" s="1" t="s">
        <v>469</v>
      </c>
      <c r="O26" s="1" t="s">
        <v>196</v>
      </c>
      <c r="P26" s="1" t="s">
        <v>162</v>
      </c>
    </row>
    <row r="27" spans="1:16" x14ac:dyDescent="0.55000000000000004">
      <c r="A27" s="1" t="s">
        <v>508</v>
      </c>
      <c r="B27" s="1">
        <v>81</v>
      </c>
      <c r="C27" s="1">
        <v>1</v>
      </c>
      <c r="D27" s="1">
        <v>1</v>
      </c>
      <c r="E27" s="1">
        <v>1</v>
      </c>
      <c r="F27" s="1">
        <v>1.1000000000000001</v>
      </c>
      <c r="G27" s="1" t="s">
        <v>509</v>
      </c>
      <c r="H27" s="1" t="s">
        <v>510</v>
      </c>
      <c r="I27" s="1" t="s">
        <v>511</v>
      </c>
      <c r="J27" s="1">
        <v>2024</v>
      </c>
      <c r="K27" s="1" t="s">
        <v>512</v>
      </c>
      <c r="L27" s="1" t="s">
        <v>262</v>
      </c>
      <c r="M27" s="1" t="s">
        <v>100</v>
      </c>
      <c r="N27" s="1" t="s">
        <v>513</v>
      </c>
      <c r="O27" s="1" t="s">
        <v>110</v>
      </c>
      <c r="P27" s="1" t="s">
        <v>110</v>
      </c>
    </row>
    <row r="28" spans="1:16" x14ac:dyDescent="0.55000000000000004">
      <c r="A28" s="1" t="s">
        <v>519</v>
      </c>
      <c r="B28" s="1">
        <v>67</v>
      </c>
      <c r="C28" s="1">
        <v>1</v>
      </c>
      <c r="D28" s="1">
        <v>1</v>
      </c>
      <c r="E28" s="1">
        <v>1</v>
      </c>
      <c r="F28" s="1">
        <v>67.099999999999994</v>
      </c>
      <c r="G28" s="1" t="s">
        <v>520</v>
      </c>
      <c r="H28" s="1" t="s">
        <v>521</v>
      </c>
      <c r="I28" s="1" t="s">
        <v>522</v>
      </c>
      <c r="J28" s="1">
        <v>2022</v>
      </c>
      <c r="K28" s="1"/>
      <c r="L28" s="1" t="s">
        <v>217</v>
      </c>
      <c r="M28" s="1" t="s">
        <v>100</v>
      </c>
      <c r="N28" s="1"/>
      <c r="O28" s="1" t="s">
        <v>134</v>
      </c>
      <c r="P28" s="1" t="s">
        <v>134</v>
      </c>
    </row>
    <row r="29" spans="1:16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5500000000000000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5500000000000000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5500000000000000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5500000000000000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5500000000000000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5500000000000000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5500000000000000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5500000000000000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5500000000000000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5500000000000000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5500000000000000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5500000000000000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5500000000000000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5500000000000000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5500000000000000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5500000000000000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Data_Extraction_communication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Ngo</dc:creator>
  <cp:lastModifiedBy>Minh Vu Ngo</cp:lastModifiedBy>
  <dcterms:created xsi:type="dcterms:W3CDTF">2025-03-23T07:33:54Z</dcterms:created>
  <dcterms:modified xsi:type="dcterms:W3CDTF">2026-01-26T05:31:04Z</dcterms:modified>
</cp:coreProperties>
</file>